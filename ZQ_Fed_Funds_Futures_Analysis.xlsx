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gtllc-my.sharepoint.com/personal/kjennings_genevatrading_com/Documents/My Files/"/>
    </mc:Choice>
  </mc:AlternateContent>
  <xr:revisionPtr revIDLastSave="4" documentId="13_ncr:1_{5935B503-162F-4ABF-A7A4-3D605D67FF8C}" xr6:coauthVersionLast="47" xr6:coauthVersionMax="47" xr10:uidLastSave="{EC7B9BB0-3509-4A00-A5D0-E643A1A78A10}"/>
  <bookViews>
    <workbookView xWindow="2835" yWindow="-19365" windowWidth="31065" windowHeight="17625" xr2:uid="{00000000-000D-0000-FFFF-FFFF00000000}"/>
  </bookViews>
  <sheets>
    <sheet name="Summary &amp; Analysis" sheetId="1" r:id="rId1"/>
    <sheet name="Calculations &amp; Model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  <c r="B13" i="1"/>
  <c r="B12" i="1"/>
  <c r="B11" i="1"/>
  <c r="B10" i="1"/>
  <c r="B9" i="1"/>
  <c r="B8" i="1"/>
  <c r="D43" i="1"/>
  <c r="C43" i="1"/>
  <c r="E43" i="1" s="1"/>
  <c r="B43" i="1"/>
  <c r="B42" i="1"/>
  <c r="C42" i="1" s="1"/>
  <c r="C41" i="1"/>
  <c r="E41" i="1" s="1"/>
  <c r="B41" i="1"/>
  <c r="E40" i="1"/>
  <c r="D40" i="1"/>
  <c r="C40" i="1"/>
  <c r="B40" i="1"/>
  <c r="B31" i="1"/>
  <c r="B32" i="1" s="1"/>
  <c r="B30" i="1"/>
  <c r="B23" i="1"/>
  <c r="B22" i="1"/>
  <c r="B20" i="1"/>
  <c r="B19" i="1"/>
  <c r="B35" i="1" l="1"/>
  <c r="B34" i="1"/>
  <c r="B33" i="1"/>
  <c r="E42" i="1"/>
  <c r="D42" i="1"/>
  <c r="D41" i="1"/>
</calcChain>
</file>

<file path=xl/sharedStrings.xml><?xml version="1.0" encoding="utf-8"?>
<sst xmlns="http://schemas.openxmlformats.org/spreadsheetml/2006/main" count="87" uniqueCount="77">
  <si>
    <t>Fed Funds Futures (ZQ) Trade &amp; Probability Analysis</t>
  </si>
  <si>
    <t>Comprehensive Analysis of Pricing, Rate Expectations, and Scenario P&amp;L</t>
  </si>
  <si>
    <t>1. Short Position Trade Analysis &amp; Market Implied Expectations</t>
  </si>
  <si>
    <t>Metric / Parameter</t>
  </si>
  <si>
    <t>Value</t>
  </si>
  <si>
    <t>Notes</t>
  </si>
  <si>
    <t>Initial Short Price</t>
  </si>
  <si>
    <t>Entry price of short contract</t>
  </si>
  <si>
    <t>New Price (Exit / MTM)</t>
  </si>
  <si>
    <t>Price after market move</t>
  </si>
  <si>
    <t>Price Change (Pts)</t>
  </si>
  <si>
    <t>Price drop = Profit for Short</t>
  </si>
  <si>
    <t>Price Change (bps)</t>
  </si>
  <si>
    <t>Basis points move</t>
  </si>
  <si>
    <t>Ticks Moved</t>
  </si>
  <si>
    <t>Number of 0.25 bps ticks</t>
  </si>
  <si>
    <t>Profit / (Loss) per Contract</t>
  </si>
  <si>
    <t>P&amp;L = Price Move (bps) * $41.67</t>
  </si>
  <si>
    <t>Implied Effective Fed Funds Rate (Initial)</t>
  </si>
  <si>
    <t>100 - Initial Price</t>
  </si>
  <si>
    <t>Implied Effective Fed Funds Rate (New)</t>
  </si>
  <si>
    <t>100 - New Price</t>
  </si>
  <si>
    <t>Implied Rate Move (bps)</t>
  </si>
  <si>
    <t>Increase in implied interest rate</t>
  </si>
  <si>
    <t>2. Rate Hike Probability Decomposition</t>
  </si>
  <si>
    <t>Scenario / Calculation Step</t>
  </si>
  <si>
    <t>Assumed Baseline Rate (Current EFFR)</t>
  </si>
  <si>
    <t>0.0000%</t>
  </si>
  <si>
    <t>Implied Target Rate after move (at 96.26625)</t>
  </si>
  <si>
    <t>Implied Rate Increase vs Baseline</t>
  </si>
  <si>
    <t>+0.0000%;-0.0000%</t>
  </si>
  <si>
    <t>Standard Fed Hike Step Size</t>
  </si>
  <si>
    <t>0.00%</t>
  </si>
  <si>
    <t>Priced Hike Expectations (in bps)</t>
  </si>
  <si>
    <t>0.00</t>
  </si>
  <si>
    <t>Implied Probability of 25 bps Hike</t>
  </si>
  <si>
    <t>Implied Prob of 25 bps Hike (Standard 0-25bps baseline)</t>
  </si>
  <si>
    <t>Implied Prob of 50 bps Hike (if baseline was 3.48375%)</t>
  </si>
  <si>
    <t>3. Scenario 2: Long Position at 96.26625 &amp; Fed Rate Hold Outcome</t>
  </si>
  <si>
    <t>Long Entry Price</t>
  </si>
  <si>
    <t>Price long position entered</t>
  </si>
  <si>
    <t>Priced Implied Rate at Entry</t>
  </si>
  <si>
    <t>3.73375% implied rate (22.5 bps hike priced in)</t>
  </si>
  <si>
    <t>Pre-Hike Baseline Rate (Fed Holds Here)</t>
  </si>
  <si>
    <t>3.50875% (No hike occurs; Fed holds rates)</t>
  </si>
  <si>
    <t>Settlement Price upon Fed Hold</t>
  </si>
  <si>
    <t>Futures price settles at 100 - Current Rate = 96.49125</t>
  </si>
  <si>
    <t>Price Move (Points)</t>
  </si>
  <si>
    <t>Gain in contract points (+0.2250)</t>
  </si>
  <si>
    <t>Price Move (Basis Points)</t>
  </si>
  <si>
    <t>+22.50 bps price increase</t>
  </si>
  <si>
    <t>Total Profit / (Loss) per Contract</t>
  </si>
  <si>
    <t>Profit on long position = 22.5 bps * $41.67</t>
  </si>
  <si>
    <t>4. Long Position P&amp;L Sensitivity Matrix (Entry @ 96.26625)</t>
  </si>
  <si>
    <t>Fed Action Outcome</t>
  </si>
  <si>
    <t>Implied Rate</t>
  </si>
  <si>
    <t>Settlement Price</t>
  </si>
  <si>
    <t>Price Chg (bps)</t>
  </si>
  <si>
    <t>P&amp;L per Contract ($)</t>
  </si>
  <si>
    <t>Fed Holds Rates (0 bps)</t>
  </si>
  <si>
    <t>Fed Hikes 25 bps (100% Priced)</t>
  </si>
  <si>
    <t>Fed Hikes 50 bps</t>
  </si>
  <si>
    <t>Fed Cuts 25 bps</t>
  </si>
  <si>
    <t>30-Day Federal Funds Futures (ZQ) Contract Specifications</t>
  </si>
  <si>
    <t>Parameter</t>
  </si>
  <si>
    <t>Description</t>
  </si>
  <si>
    <t>Contract Value / Multiplier</t>
  </si>
  <si>
    <t>$4,167 x Index (or $100 per bps / $4,167 x Price / 100)</t>
  </si>
  <si>
    <t>$416,700 base per 100 index</t>
  </si>
  <si>
    <t>Tick Size (Price)</t>
  </si>
  <si>
    <t>Quarter of one basis point</t>
  </si>
  <si>
    <t>Tick Value ($)</t>
  </si>
  <si>
    <t>$416,700 * 0.0025 / 100</t>
  </si>
  <si>
    <t>Point Value (1.00 index)</t>
  </si>
  <si>
    <t>100 bps * $41.67 per bps</t>
  </si>
  <si>
    <t>Basis Point Value (0.01 index)</t>
  </si>
  <si>
    <t>1 bps movement = $41.67 per contract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</si>
</sst>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0"/>
    <numFmt numFmtId="165" formatCode="\$#,##0.00;\(\$#,##0.00\);&quot;-&quot;"/>
    <numFmt numFmtId="166" formatCode="\+0.0000;\-0.0000;0.0000"/>
    <numFmt numFmtId="167" formatCode="\+0.00;\-0.00;0.00"/>
    <numFmt numFmtId="168" formatCode="0.0"/>
    <numFmt numFmtId="169" formatCode="0.0000%"/>
    <numFmt numFmtId="170" formatCode="\+0.0000%;\-0.0000%"/>
  </numFmts>
  <fonts count="9" x14ac:knownFonts="1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i/>
      <sz val="11"/>
      <color rgb="FF595959"/>
      <name val="Calibri"/>
      <family val="2"/>
    </font>
    <font>
      <b/>
      <sz val="12"/>
      <color rgb="FF1F497D"/>
      <name val="Calibri"/>
      <family val="2"/>
    </font>
    <font>
      <i/>
      <sz val="10"/>
      <name val="Calibri"/>
      <family val="2"/>
    </font>
    <font>
      <b/>
      <sz val="11"/>
      <color rgb="FF375623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5" fillId="0" borderId="0" xfId="0" applyFont="1"/>
    <xf numFmtId="0" fontId="6" fillId="2" borderId="0" xfId="0" applyFont="1" applyFill="1"/>
    <xf numFmtId="0" fontId="2" fillId="2" borderId="0" xfId="0" applyFont="1" applyFill="1"/>
    <xf numFmtId="0" fontId="2" fillId="2" borderId="0" xfId="0" applyFont="1" applyFill="1" applyAlignment="1">
      <alignment horizontal="left" vertical="center"/>
    </xf>
    <xf numFmtId="0" fontId="4" fillId="0" borderId="1" xfId="0" applyFont="1" applyBorder="1"/>
    <xf numFmtId="164" fontId="4" fillId="0" borderId="1" xfId="0" applyNumberFormat="1" applyFont="1" applyBorder="1"/>
    <xf numFmtId="0" fontId="7" fillId="0" borderId="1" xfId="0" applyFont="1" applyBorder="1"/>
    <xf numFmtId="166" fontId="4" fillId="0" borderId="1" xfId="0" applyNumberFormat="1" applyFont="1" applyBorder="1"/>
    <xf numFmtId="167" fontId="4" fillId="0" borderId="1" xfId="0" applyNumberFormat="1" applyFont="1" applyBorder="1"/>
    <xf numFmtId="168" fontId="4" fillId="0" borderId="1" xfId="0" applyNumberFormat="1" applyFont="1" applyBorder="1"/>
    <xf numFmtId="0" fontId="3" fillId="0" borderId="1" xfId="0" applyFont="1" applyBorder="1"/>
    <xf numFmtId="165" fontId="8" fillId="3" borderId="1" xfId="0" applyNumberFormat="1" applyFont="1" applyFill="1" applyBorder="1"/>
    <xf numFmtId="169" fontId="4" fillId="0" borderId="1" xfId="0" applyNumberFormat="1" applyFont="1" applyBorder="1"/>
    <xf numFmtId="0" fontId="6" fillId="0" borderId="0" xfId="0" applyFont="1"/>
    <xf numFmtId="169" fontId="3" fillId="0" borderId="1" xfId="0" applyNumberFormat="1" applyFont="1" applyBorder="1"/>
    <xf numFmtId="170" fontId="3" fillId="0" borderId="1" xfId="0" applyNumberFormat="1" applyFont="1" applyBorder="1"/>
    <xf numFmtId="10" fontId="3" fillId="0" borderId="1" xfId="0" applyNumberFormat="1" applyFont="1" applyBorder="1"/>
    <xf numFmtId="2" fontId="3" fillId="0" borderId="1" xfId="0" applyNumberFormat="1" applyFont="1" applyBorder="1"/>
    <xf numFmtId="0" fontId="2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69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3" fillId="0" borderId="0" xfId="0" applyFont="1"/>
    <xf numFmtId="164" fontId="4" fillId="0" borderId="0" xfId="0" applyNumberFormat="1" applyFont="1"/>
    <xf numFmtId="0" fontId="4" fillId="0" borderId="0" xfId="0" applyFont="1"/>
    <xf numFmtId="165" fontId="4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tabSelected="1" workbookViewId="0">
      <selection activeCell="B15" sqref="B15"/>
    </sheetView>
  </sheetViews>
  <sheetFormatPr defaultRowHeight="15" x14ac:dyDescent="0.25"/>
  <cols>
    <col min="1" max="1" width="52" customWidth="1"/>
    <col min="2" max="3" width="22" customWidth="1"/>
    <col min="4" max="4" width="18" customWidth="1"/>
    <col min="5" max="5" width="22" customWidth="1"/>
  </cols>
  <sheetData>
    <row r="1" spans="1:5" ht="21" x14ac:dyDescent="0.35">
      <c r="A1" s="1" t="s">
        <v>0</v>
      </c>
    </row>
    <row r="2" spans="1:5" x14ac:dyDescent="0.25">
      <c r="A2" s="2" t="s">
        <v>1</v>
      </c>
    </row>
    <row r="4" spans="1:5" ht="15.75" x14ac:dyDescent="0.25">
      <c r="A4" s="3" t="s">
        <v>2</v>
      </c>
      <c r="B4" s="4"/>
      <c r="C4" s="4"/>
      <c r="D4" s="4"/>
    </row>
    <row r="5" spans="1:5" x14ac:dyDescent="0.25">
      <c r="A5" s="5" t="s">
        <v>3</v>
      </c>
      <c r="B5" s="5" t="s">
        <v>4</v>
      </c>
      <c r="C5" s="5" t="s">
        <v>5</v>
      </c>
    </row>
    <row r="6" spans="1:5" x14ac:dyDescent="0.25">
      <c r="A6" s="6" t="s">
        <v>6</v>
      </c>
      <c r="B6" s="7">
        <v>95.79</v>
      </c>
      <c r="C6" s="8" t="s">
        <v>7</v>
      </c>
      <c r="E6">
        <v>95.79</v>
      </c>
    </row>
    <row r="7" spans="1:5" x14ac:dyDescent="0.25">
      <c r="A7" s="6" t="s">
        <v>8</v>
      </c>
      <c r="B7" s="7">
        <v>96.252499999999998</v>
      </c>
      <c r="C7" s="8" t="s">
        <v>9</v>
      </c>
      <c r="E7">
        <v>96.252499999999998</v>
      </c>
    </row>
    <row r="8" spans="1:5" x14ac:dyDescent="0.25">
      <c r="A8" s="6" t="s">
        <v>10</v>
      </c>
      <c r="B8" s="9">
        <f>B7-B6</f>
        <v>0.46249999999999147</v>
      </c>
      <c r="C8" s="8" t="s">
        <v>11</v>
      </c>
    </row>
    <row r="9" spans="1:5" x14ac:dyDescent="0.25">
      <c r="A9" s="6" t="s">
        <v>12</v>
      </c>
      <c r="B9" s="10">
        <f>(B6-B7)*100</f>
        <v>-46.249999999999147</v>
      </c>
      <c r="C9" s="8" t="s">
        <v>13</v>
      </c>
    </row>
    <row r="10" spans="1:5" x14ac:dyDescent="0.25">
      <c r="A10" s="6" t="s">
        <v>14</v>
      </c>
      <c r="B10" s="11">
        <f>(B6-B7)/0.0025</f>
        <v>-184.99999999999659</v>
      </c>
      <c r="C10" s="8" t="s">
        <v>15</v>
      </c>
    </row>
    <row r="11" spans="1:5" x14ac:dyDescent="0.25">
      <c r="A11" s="12" t="s">
        <v>16</v>
      </c>
      <c r="B11" s="13">
        <f>(B6-B7)*100*41.67</f>
        <v>-1927.2374999999645</v>
      </c>
      <c r="C11" s="8" t="s">
        <v>17</v>
      </c>
    </row>
    <row r="12" spans="1:5" x14ac:dyDescent="0.25">
      <c r="A12" s="6" t="s">
        <v>18</v>
      </c>
      <c r="B12" s="14">
        <f>(100-B6)/100</f>
        <v>4.2099999999999936E-2</v>
      </c>
      <c r="C12" s="8" t="s">
        <v>19</v>
      </c>
    </row>
    <row r="13" spans="1:5" x14ac:dyDescent="0.25">
      <c r="A13" s="6" t="s">
        <v>20</v>
      </c>
      <c r="B13" s="14">
        <f>(100-B7)/100</f>
        <v>3.7475000000000022E-2</v>
      </c>
      <c r="C13" s="8" t="s">
        <v>21</v>
      </c>
    </row>
    <row r="14" spans="1:5" x14ac:dyDescent="0.25">
      <c r="A14" s="6" t="s">
        <v>22</v>
      </c>
      <c r="B14" s="10">
        <f>(B7-B6)*(-100)</f>
        <v>-46.249999999999147</v>
      </c>
      <c r="C14" s="8" t="s">
        <v>23</v>
      </c>
    </row>
    <row r="16" spans="1:5" ht="15.75" x14ac:dyDescent="0.25">
      <c r="A16" s="15" t="s">
        <v>24</v>
      </c>
    </row>
    <row r="17" spans="1:3" x14ac:dyDescent="0.25">
      <c r="A17" s="5" t="s">
        <v>25</v>
      </c>
      <c r="B17" s="5" t="s">
        <v>4</v>
      </c>
      <c r="C17" s="5" t="s">
        <v>5</v>
      </c>
    </row>
    <row r="18" spans="1:3" x14ac:dyDescent="0.25">
      <c r="A18" s="6" t="s">
        <v>26</v>
      </c>
      <c r="B18" s="16">
        <v>3.4500000000000003E-2</v>
      </c>
      <c r="C18" s="8" t="s">
        <v>27</v>
      </c>
    </row>
    <row r="19" spans="1:3" x14ac:dyDescent="0.25">
      <c r="A19" s="6" t="s">
        <v>28</v>
      </c>
      <c r="B19" s="16">
        <f>(100-B7)/100</f>
        <v>3.7475000000000022E-2</v>
      </c>
      <c r="C19" s="8" t="s">
        <v>27</v>
      </c>
    </row>
    <row r="20" spans="1:3" x14ac:dyDescent="0.25">
      <c r="A20" s="6" t="s">
        <v>29</v>
      </c>
      <c r="B20" s="17">
        <f>B19-B18</f>
        <v>2.9750000000000193E-3</v>
      </c>
      <c r="C20" s="8" t="s">
        <v>30</v>
      </c>
    </row>
    <row r="21" spans="1:3" x14ac:dyDescent="0.25">
      <c r="A21" s="6" t="s">
        <v>31</v>
      </c>
      <c r="B21" s="18">
        <v>2.5000000000000001E-3</v>
      </c>
      <c r="C21" s="8" t="s">
        <v>32</v>
      </c>
    </row>
    <row r="22" spans="1:3" x14ac:dyDescent="0.25">
      <c r="A22" s="6" t="s">
        <v>33</v>
      </c>
      <c r="B22" s="19">
        <f>(B19-B18)*10000</f>
        <v>29.750000000000192</v>
      </c>
      <c r="C22" s="8" t="s">
        <v>34</v>
      </c>
    </row>
    <row r="23" spans="1:3" x14ac:dyDescent="0.25">
      <c r="A23" s="6" t="s">
        <v>35</v>
      </c>
      <c r="B23" s="18">
        <f>(B19-B18)/B21</f>
        <v>1.1900000000000077</v>
      </c>
      <c r="C23" s="8" t="s">
        <v>32</v>
      </c>
    </row>
    <row r="24" spans="1:3" x14ac:dyDescent="0.25">
      <c r="A24" s="6" t="s">
        <v>36</v>
      </c>
      <c r="B24" s="18">
        <v>0.9</v>
      </c>
      <c r="C24" s="8" t="s">
        <v>32</v>
      </c>
    </row>
    <row r="25" spans="1:3" x14ac:dyDescent="0.25">
      <c r="A25" s="6" t="s">
        <v>37</v>
      </c>
      <c r="B25" s="18">
        <v>0.13500000000000001</v>
      </c>
      <c r="C25" s="8" t="s">
        <v>32</v>
      </c>
    </row>
    <row r="27" spans="1:3" ht="15.75" x14ac:dyDescent="0.25">
      <c r="A27" s="15" t="s">
        <v>38</v>
      </c>
    </row>
    <row r="28" spans="1:3" x14ac:dyDescent="0.25">
      <c r="A28" s="5" t="s">
        <v>3</v>
      </c>
      <c r="B28" s="5" t="s">
        <v>4</v>
      </c>
      <c r="C28" s="5" t="s">
        <v>5</v>
      </c>
    </row>
    <row r="29" spans="1:3" x14ac:dyDescent="0.25">
      <c r="A29" s="6" t="s">
        <v>39</v>
      </c>
      <c r="B29" s="7">
        <v>96.266249999999999</v>
      </c>
      <c r="C29" s="8" t="s">
        <v>40</v>
      </c>
    </row>
    <row r="30" spans="1:3" x14ac:dyDescent="0.25">
      <c r="A30" s="6" t="s">
        <v>41</v>
      </c>
      <c r="B30" s="14">
        <f>(100-B29)/100</f>
        <v>3.7337500000000003E-2</v>
      </c>
      <c r="C30" s="8" t="s">
        <v>42</v>
      </c>
    </row>
    <row r="31" spans="1:3" x14ac:dyDescent="0.25">
      <c r="A31" s="6" t="s">
        <v>43</v>
      </c>
      <c r="B31" s="14">
        <f>(100-B29-22.5)/100</f>
        <v>-0.18766249999999998</v>
      </c>
      <c r="C31" s="8" t="s">
        <v>44</v>
      </c>
    </row>
    <row r="32" spans="1:3" x14ac:dyDescent="0.25">
      <c r="A32" s="6" t="s">
        <v>45</v>
      </c>
      <c r="B32" s="7">
        <f>100-(B31*100)</f>
        <v>118.76625</v>
      </c>
      <c r="C32" s="8" t="s">
        <v>46</v>
      </c>
    </row>
    <row r="33" spans="1:5" x14ac:dyDescent="0.25">
      <c r="A33" s="6" t="s">
        <v>47</v>
      </c>
      <c r="B33" s="9">
        <f>B32-B29</f>
        <v>22.5</v>
      </c>
      <c r="C33" s="8" t="s">
        <v>48</v>
      </c>
    </row>
    <row r="34" spans="1:5" x14ac:dyDescent="0.25">
      <c r="A34" s="6" t="s">
        <v>49</v>
      </c>
      <c r="B34" s="10">
        <f>(B32-B29)*100</f>
        <v>2250</v>
      </c>
      <c r="C34" s="8" t="s">
        <v>50</v>
      </c>
    </row>
    <row r="35" spans="1:5" x14ac:dyDescent="0.25">
      <c r="A35" s="12" t="s">
        <v>51</v>
      </c>
      <c r="B35" s="13">
        <f>(B32-B29)*100*41.67</f>
        <v>93757.5</v>
      </c>
      <c r="C35" s="8" t="s">
        <v>52</v>
      </c>
    </row>
    <row r="38" spans="1:5" ht="15.75" x14ac:dyDescent="0.25">
      <c r="A38" s="15" t="s">
        <v>53</v>
      </c>
    </row>
    <row r="39" spans="1:5" x14ac:dyDescent="0.25">
      <c r="A39" s="20" t="s">
        <v>54</v>
      </c>
      <c r="B39" s="20" t="s">
        <v>55</v>
      </c>
      <c r="C39" s="20" t="s">
        <v>56</v>
      </c>
      <c r="D39" s="20" t="s">
        <v>57</v>
      </c>
      <c r="E39" s="20" t="s">
        <v>58</v>
      </c>
    </row>
    <row r="40" spans="1:5" x14ac:dyDescent="0.25">
      <c r="A40" s="21" t="s">
        <v>59</v>
      </c>
      <c r="B40" s="22">
        <f>(100-96.26625-22.5)/100</f>
        <v>-0.18766249999999998</v>
      </c>
      <c r="C40" s="23">
        <f>100-(B40*100)</f>
        <v>118.76625</v>
      </c>
      <c r="D40" s="24">
        <f>(C40-96.26625)*100</f>
        <v>2250</v>
      </c>
      <c r="E40" s="25">
        <f>(C40-96.26625)*100*41.67</f>
        <v>93757.5</v>
      </c>
    </row>
    <row r="41" spans="1:5" x14ac:dyDescent="0.25">
      <c r="A41" s="21" t="s">
        <v>60</v>
      </c>
      <c r="B41" s="22">
        <f>(100-96.26625-22.5+25)/100</f>
        <v>6.2337500000000004E-2</v>
      </c>
      <c r="C41" s="23">
        <f>100-(B41*100)</f>
        <v>93.766249999999999</v>
      </c>
      <c r="D41" s="24">
        <f>(C41-96.26625)*100</f>
        <v>-250</v>
      </c>
      <c r="E41" s="25">
        <f>(C41-96.26625)*100*41.67</f>
        <v>-10417.5</v>
      </c>
    </row>
    <row r="42" spans="1:5" x14ac:dyDescent="0.25">
      <c r="A42" s="21" t="s">
        <v>61</v>
      </c>
      <c r="B42" s="22">
        <f>(100-96.26625-22.5+50)/100</f>
        <v>0.31233749999999999</v>
      </c>
      <c r="C42" s="23">
        <f>100-(B42*100)</f>
        <v>68.766249999999999</v>
      </c>
      <c r="D42" s="24">
        <f>(C42-96.26625)*100</f>
        <v>-2750</v>
      </c>
      <c r="E42" s="25">
        <f>(C42-96.26625)*100*41.67</f>
        <v>-114592.5</v>
      </c>
    </row>
    <row r="43" spans="1:5" x14ac:dyDescent="0.25">
      <c r="A43" s="21" t="s">
        <v>62</v>
      </c>
      <c r="B43" s="22">
        <f>(100-96.26625-22.5-25)/100</f>
        <v>-0.43766250000000001</v>
      </c>
      <c r="C43" s="23">
        <f>100-(B43*100)</f>
        <v>143.76625000000001</v>
      </c>
      <c r="D43" s="24">
        <f>(C43-96.26625)*100</f>
        <v>4750.0000000000018</v>
      </c>
      <c r="E43" s="25">
        <f>(C43-96.26625)*100*41.67</f>
        <v>197932.50000000009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5" x14ac:dyDescent="0.25"/>
  <cols>
    <col min="1" max="1" width="61" customWidth="1"/>
    <col min="2" max="2" width="59" customWidth="1"/>
    <col min="3" max="3" width="40" customWidth="1"/>
  </cols>
  <sheetData>
    <row r="1" spans="1:3" ht="21" x14ac:dyDescent="0.35">
      <c r="A1" s="1" t="s">
        <v>63</v>
      </c>
    </row>
    <row r="3" spans="1:3" x14ac:dyDescent="0.25">
      <c r="A3" s="5" t="s">
        <v>64</v>
      </c>
      <c r="B3" s="5" t="s">
        <v>4</v>
      </c>
      <c r="C3" s="5" t="s">
        <v>65</v>
      </c>
    </row>
    <row r="4" spans="1:3" x14ac:dyDescent="0.25">
      <c r="A4" s="26" t="s">
        <v>66</v>
      </c>
      <c r="B4" s="27" t="s">
        <v>67</v>
      </c>
      <c r="C4" s="28" t="s">
        <v>68</v>
      </c>
    </row>
    <row r="5" spans="1:3" x14ac:dyDescent="0.25">
      <c r="A5" s="26" t="s">
        <v>69</v>
      </c>
      <c r="B5" s="29">
        <v>2.5000000000000001E-3</v>
      </c>
      <c r="C5" s="28" t="s">
        <v>70</v>
      </c>
    </row>
    <row r="6" spans="1:3" x14ac:dyDescent="0.25">
      <c r="A6" s="26" t="s">
        <v>71</v>
      </c>
      <c r="B6" s="29">
        <v>10.4175</v>
      </c>
      <c r="C6" s="28" t="s">
        <v>72</v>
      </c>
    </row>
    <row r="7" spans="1:3" x14ac:dyDescent="0.25">
      <c r="A7" s="26" t="s">
        <v>73</v>
      </c>
      <c r="B7" s="29">
        <v>4167</v>
      </c>
      <c r="C7" s="28" t="s">
        <v>74</v>
      </c>
    </row>
    <row r="8" spans="1:3" x14ac:dyDescent="0.25">
      <c r="A8" s="26" t="s">
        <v>75</v>
      </c>
      <c r="B8" s="28">
        <v>41.67</v>
      </c>
      <c r="C8" s="28" t="s">
        <v>76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d1ca67ea-cf85-4c1b-88c2-a9ae8445b1f9}" enabled="0" method="" siteId="{d1ca67ea-cf85-4c1b-88c2-a9ae8445b1f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&amp; Analysis</vt:lpstr>
      <vt:lpstr>Calculations &amp; 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Kyle Jennings</cp:lastModifiedBy>
  <dcterms:created xsi:type="dcterms:W3CDTF">2026-09-14T14:35:41Z</dcterms:created>
  <dcterms:modified xsi:type="dcterms:W3CDTF">2026-09-16T18:15:46Z</dcterms:modified>
</cp:coreProperties>
</file>
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jennings\Downloads\"/>
    </mc:Choice>
  </mc:AlternateContent>
  <xr:revisionPtr revIDLastSave="0" documentId="13_ncr:20001_{DC7AFAAE-C16C-4770-BEE3-9FCF76729211}" xr6:coauthVersionLast="47" xr6:coauthVersionMax="47" xr10:uidLastSave="{00000000-0000-0000-0000-000000000000}"/>
  <bookViews>
    <workbookView xWindow="-24615" yWindow="2385" windowWidth="24345" windowHeight="18555" firstSheet="2" activeTab="2" xr2:uid="{00000000-000D-0000-FFFF-FFFF00000000}"/>
  </bookViews>
  <sheets>
    <sheet name="Trade Model" sheetId="2" r:id="rId1"/>
    <sheet name="Dashboard" sheetId="1" r:id="rId2"/>
    <sheet name="Probability" sheetId="3" r:id="rId3"/>
    <sheet name="Sheet1" sheetId="5" r:id="rId4"/>
    <sheet name="Sources &amp; Note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F32" i="5"/>
  <c r="E32" i="5"/>
  <c r="D32" i="5"/>
  <c r="D16" i="5"/>
  <c r="F16" i="5" s="1"/>
  <c r="F22" i="5" s="1"/>
  <c r="C7" i="5"/>
  <c r="D20" i="5" s="1"/>
  <c r="N7" i="1"/>
  <c r="G5" i="2"/>
  <c r="I33" i="2"/>
  <c r="H7" i="2"/>
  <c r="H8" i="2"/>
  <c r="H9" i="2"/>
  <c r="H10" i="2"/>
  <c r="H11" i="2"/>
  <c r="H12" i="2"/>
  <c r="H13" i="2"/>
  <c r="H14" i="2"/>
  <c r="H6" i="2"/>
  <c r="B4" i="1"/>
  <c r="G21" i="3"/>
  <c r="E21" i="3"/>
  <c r="G20" i="3"/>
  <c r="E20" i="3"/>
  <c r="G19" i="3"/>
  <c r="E19" i="3"/>
  <c r="G18" i="3"/>
  <c r="E18" i="3"/>
  <c r="G17" i="3"/>
  <c r="E17" i="3"/>
  <c r="G16" i="3"/>
  <c r="E16" i="3"/>
  <c r="B16" i="3"/>
  <c r="K10" i="3" s="1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D36" i="2"/>
  <c r="E36" i="2" s="1"/>
  <c r="F36" i="2" s="1"/>
  <c r="C36" i="2"/>
  <c r="B36" i="2"/>
  <c r="D35" i="2"/>
  <c r="E35" i="2" s="1"/>
  <c r="C35" i="2"/>
  <c r="B35" i="2"/>
  <c r="D34" i="2"/>
  <c r="E34" i="2" s="1"/>
  <c r="C34" i="2"/>
  <c r="B34" i="2"/>
  <c r="D33" i="2"/>
  <c r="E33" i="2" s="1"/>
  <c r="C33" i="2"/>
  <c r="B33" i="2"/>
  <c r="D32" i="2"/>
  <c r="E32" i="2" s="1"/>
  <c r="B32" i="2"/>
  <c r="C32" i="2" s="1"/>
  <c r="D31" i="2"/>
  <c r="E31" i="2" s="1"/>
  <c r="C31" i="2"/>
  <c r="B31" i="2"/>
  <c r="D30" i="2"/>
  <c r="E30" i="2" s="1"/>
  <c r="C30" i="2"/>
  <c r="B30" i="2"/>
  <c r="D29" i="2"/>
  <c r="E29" i="2" s="1"/>
  <c r="C29" i="2"/>
  <c r="B29" i="2"/>
  <c r="D28" i="2"/>
  <c r="E28" i="2" s="1"/>
  <c r="C28" i="2"/>
  <c r="B28" i="2"/>
  <c r="D27" i="2"/>
  <c r="E27" i="2" s="1"/>
  <c r="C27" i="2"/>
  <c r="B27" i="2"/>
  <c r="D26" i="2"/>
  <c r="E26" i="2" s="1"/>
  <c r="C26" i="2"/>
  <c r="B26" i="2"/>
  <c r="D25" i="2"/>
  <c r="E25" i="2" s="1"/>
  <c r="C25" i="2"/>
  <c r="B25" i="2"/>
  <c r="D24" i="2"/>
  <c r="E24" i="2" s="1"/>
  <c r="C24" i="2"/>
  <c r="B24" i="2"/>
  <c r="D23" i="2"/>
  <c r="E23" i="2" s="1"/>
  <c r="C23" i="2"/>
  <c r="B23" i="2"/>
  <c r="D22" i="2"/>
  <c r="E22" i="2" s="1"/>
  <c r="C22" i="2"/>
  <c r="B22" i="2"/>
  <c r="D21" i="2"/>
  <c r="E21" i="2" s="1"/>
  <c r="C21" i="2"/>
  <c r="B21" i="2"/>
  <c r="D20" i="2"/>
  <c r="E20" i="2" s="1"/>
  <c r="B20" i="2"/>
  <c r="C20" i="2" s="1"/>
  <c r="D19" i="2"/>
  <c r="E19" i="2" s="1"/>
  <c r="C19" i="2"/>
  <c r="B19" i="2"/>
  <c r="L14" i="2"/>
  <c r="J14" i="2"/>
  <c r="K14" i="2" s="1"/>
  <c r="I14" i="2"/>
  <c r="L13" i="2"/>
  <c r="J13" i="2"/>
  <c r="K13" i="2" s="1"/>
  <c r="I13" i="2"/>
  <c r="L12" i="2"/>
  <c r="K12" i="2"/>
  <c r="J12" i="2"/>
  <c r="I12" i="2"/>
  <c r="L11" i="2"/>
  <c r="J11" i="2"/>
  <c r="I11" i="2"/>
  <c r="L10" i="2"/>
  <c r="J10" i="2"/>
  <c r="K10" i="2" s="1"/>
  <c r="I10" i="2"/>
  <c r="L9" i="2"/>
  <c r="J9" i="2"/>
  <c r="K9" i="2" s="1"/>
  <c r="I9" i="2"/>
  <c r="L8" i="2"/>
  <c r="K8" i="2"/>
  <c r="J8" i="2"/>
  <c r="I8" i="2"/>
  <c r="L7" i="2"/>
  <c r="J7" i="2"/>
  <c r="K7" i="2" s="1"/>
  <c r="I7" i="2"/>
  <c r="L6" i="2"/>
  <c r="J6" i="2"/>
  <c r="K6" i="2" s="1"/>
  <c r="I6" i="2"/>
  <c r="L5" i="2"/>
  <c r="J5" i="2"/>
  <c r="K5" i="2" s="1"/>
  <c r="B9" i="1" s="1"/>
  <c r="I5" i="2"/>
  <c r="B7" i="1" s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G6" i="1"/>
  <c r="B6" i="1"/>
  <c r="G5" i="1"/>
  <c r="B5" i="1"/>
  <c r="K11" i="2" l="1"/>
  <c r="B41" i="1"/>
  <c r="F24" i="2"/>
  <c r="B42" i="1"/>
  <c r="F25" i="2"/>
  <c r="B43" i="1"/>
  <c r="F26" i="2"/>
  <c r="B44" i="1"/>
  <c r="F27" i="2"/>
  <c r="B45" i="1"/>
  <c r="F28" i="2"/>
  <c r="B46" i="1"/>
  <c r="F29" i="2"/>
  <c r="F30" i="2"/>
  <c r="B47" i="1"/>
  <c r="B48" i="1"/>
  <c r="F31" i="2"/>
  <c r="F19" i="2"/>
  <c r="B36" i="1"/>
  <c r="B49" i="1"/>
  <c r="F32" i="2"/>
  <c r="F20" i="2"/>
  <c r="B37" i="1"/>
  <c r="B50" i="1"/>
  <c r="F33" i="2"/>
  <c r="F21" i="2"/>
  <c r="B38" i="1"/>
  <c r="F34" i="2"/>
  <c r="B51" i="1"/>
  <c r="F22" i="2"/>
  <c r="B39" i="1"/>
  <c r="F35" i="2"/>
  <c r="B52" i="1"/>
  <c r="F23" i="2"/>
  <c r="B40" i="1"/>
  <c r="B8" i="1"/>
  <c r="B17" i="3"/>
  <c r="K5" i="3" l="1"/>
  <c r="B18" i="3"/>
  <c r="K9" i="3"/>
  <c r="G7" i="1"/>
  <c r="B20" i="3" l="1"/>
  <c r="B19" i="3"/>
  <c r="B21" i="3"/>
  <c r="B22" i="3"/>
  <c r="F14" i="3" l="1"/>
  <c r="F6" i="3"/>
  <c r="H6" i="3" s="1"/>
  <c r="F21" i="3"/>
  <c r="H21" i="3" s="1"/>
  <c r="F13" i="3"/>
  <c r="F20" i="3"/>
  <c r="H20" i="3" s="1"/>
  <c r="F5" i="3"/>
  <c r="H5" i="3" s="1"/>
  <c r="F12" i="3"/>
  <c r="F19" i="3"/>
  <c r="H19" i="3" s="1"/>
  <c r="F11" i="3"/>
  <c r="H11" i="3" s="1"/>
  <c r="F18" i="3"/>
  <c r="H18" i="3" s="1"/>
  <c r="F10" i="3"/>
  <c r="H10" i="3" s="1"/>
  <c r="F17" i="3"/>
  <c r="H17" i="3" s="1"/>
  <c r="F9" i="3"/>
  <c r="H9" i="3" s="1"/>
  <c r="F16" i="3"/>
  <c r="H16" i="3" s="1"/>
  <c r="F8" i="3"/>
  <c r="H8" i="3" s="1"/>
  <c r="F15" i="3"/>
  <c r="H15" i="3" s="1"/>
  <c r="F7" i="3"/>
  <c r="H7" i="3" s="1"/>
  <c r="H12" i="3" l="1"/>
  <c r="K8" i="3"/>
  <c r="G9" i="1" s="1"/>
  <c r="H13" i="3"/>
  <c r="K6" i="3"/>
  <c r="G10" i="1" s="1"/>
  <c r="K7" i="3"/>
  <c r="G8" i="1" s="1"/>
  <c r="H14" i="3"/>
</calcChain>
</file>

<file path=xl/sharedStrings.xml><?xml version="1.0" encoding="utf-8"?>
<sst xmlns="http://schemas.openxmlformats.org/spreadsheetml/2006/main" count="162" uniqueCount="134">
  <si>
    <t>ZQ Fed Funds Futures — Trading &amp; Policy Probability Dashboard</t>
  </si>
  <si>
    <t>Trade Snapshot</t>
  </si>
  <si>
    <t>Fed Probability Snapshot</t>
  </si>
  <si>
    <t>Contracts</t>
  </si>
  <si>
    <t>Metric</t>
  </si>
  <si>
    <t>Value</t>
  </si>
  <si>
    <t>Entry Price</t>
  </si>
  <si>
    <t>Futures Price</t>
  </si>
  <si>
    <t>Current Price</t>
  </si>
  <si>
    <t>Implied Avg. EFFR</t>
  </si>
  <si>
    <t>Unrealized P&amp;L ($)</t>
  </si>
  <si>
    <t>Expected Meeting Move (bps)</t>
  </si>
  <si>
    <t>Realized P&amp;L ($)</t>
  </si>
  <si>
    <t>Probability 25bp Hike</t>
  </si>
  <si>
    <t>P&amp;L After Commission ($)</t>
  </si>
  <si>
    <t>Probability 25bp Cut</t>
  </si>
  <si>
    <t>Probability No Change</t>
  </si>
  <si>
    <t>Trade 1 Scenario P&amp;L vs. Rate Shock</t>
  </si>
  <si>
    <t>Use the blue/yellow cells as scenario inputs. The model uses CME's 30-Day Fed Funds futures economics: each 1 bp in ZQ is $41.67 per contract. The probability model follows CME's 25bp-step convention and should be refreshed with the latest ZQ price, EFFR, and meeting timing before using it for a live trade.</t>
  </si>
  <si>
    <t>Rate Shock (bps)</t>
  </si>
  <si>
    <t>Total P&amp;L ($)</t>
  </si>
  <si>
    <t>ZQ Fed Funds Futures — Trade P&amp;L Model</t>
  </si>
  <si>
    <t>Trade Inputs &amp; Mark-to-Market</t>
  </si>
  <si>
    <t>Trade ID</t>
  </si>
  <si>
    <t>Contract</t>
  </si>
  <si>
    <t>Side</t>
  </si>
  <si>
    <t>Exit Price</t>
  </si>
  <si>
    <t>RT Commission / Contract ($)</t>
  </si>
  <si>
    <t>P&amp;L After RT Commission ($)</t>
  </si>
  <si>
    <t>Breakeven Exit Price</t>
  </si>
  <si>
    <t>ZQ Trade 1</t>
  </si>
  <si>
    <t>ZQU6</t>
  </si>
  <si>
    <t>Long</t>
  </si>
  <si>
    <t>ZQ Trade 2</t>
  </si>
  <si>
    <t>ZQ Trade 3</t>
  </si>
  <si>
    <t>ZQ Trade 4</t>
  </si>
  <si>
    <t>ZQ Trade 5</t>
  </si>
  <si>
    <t>ZQ Trade 6</t>
  </si>
  <si>
    <t>ZQ Trade 7</t>
  </si>
  <si>
    <t>ZQ Trade 8</t>
  </si>
  <si>
    <t>ZQ Trade 9</t>
  </si>
  <si>
    <t>ZQ Trade 10</t>
  </si>
  <si>
    <t>Scenario P&amp;L — Trade 1</t>
  </si>
  <si>
    <t>Key Contract Economics</t>
  </si>
  <si>
    <t>Rate Change (%)</t>
  </si>
  <si>
    <t>Scenario Exit Price</t>
  </si>
  <si>
    <t>P&amp;L / Contract ($)</t>
  </si>
  <si>
    <t>Contract Size ($)</t>
  </si>
  <si>
    <t>$ / 1 bp</t>
  </si>
  <si>
    <t>$ / 25 bp</t>
  </si>
  <si>
    <t>Index convention</t>
  </si>
  <si>
    <t>Price = 100 - avg. EFFR</t>
  </si>
  <si>
    <t>Typical minimum tick</t>
  </si>
  <si>
    <t>Nearest: 0.25 bp; others: 0.5 bp</t>
  </si>
  <si>
    <t>P&amp;L sign</t>
  </si>
  <si>
    <t>Long gains when ZQ price rises</t>
  </si>
  <si>
    <t>Model conventions: commission input is round-trip per contract. Futures P&amp;L is marked by index-price movement × $4,167.</t>
  </si>
  <si>
    <t>ZQ / Fed Funds Futures — Implied FOMC Probability Model</t>
  </si>
  <si>
    <t>Inputs</t>
  </si>
  <si>
    <t>Exact Probability by FOMC Move Magnitude</t>
  </si>
  <si>
    <t>Trader Readout</t>
  </si>
  <si>
    <t>Contract Month</t>
  </si>
  <si>
    <t>September 2026</t>
  </si>
  <si>
    <t>Move</t>
  </si>
  <si>
    <t>Outcome</t>
  </si>
  <si>
    <t>Exact Probability</t>
  </si>
  <si>
    <t>Target Rate Midpoint</t>
  </si>
  <si>
    <t>Notes</t>
  </si>
  <si>
    <t>Result</t>
  </si>
  <si>
    <t>Implied hike/cut direction</t>
  </si>
  <si>
    <t>Probability of no change</t>
  </si>
  <si>
    <t>Current EFFR</t>
  </si>
  <si>
    <t>Probability of 25bp hike</t>
  </si>
  <si>
    <t>Current Target Midpoint</t>
  </si>
  <si>
    <t>Probability of 25bp cut</t>
  </si>
  <si>
    <t>Decision / Effective Date</t>
  </si>
  <si>
    <t>Expected move (bps)</t>
  </si>
  <si>
    <t>Days in Month</t>
  </si>
  <si>
    <t>Expected post-meeting EFFR</t>
  </si>
  <si>
    <t>Pre-Meeting Days</t>
  </si>
  <si>
    <t>Post-Meeting Days</t>
  </si>
  <si>
    <t>25 bp Increment</t>
  </si>
  <si>
    <t>Probability Method</t>
  </si>
  <si>
    <t>CME-style adjacent 25bp outcomes</t>
  </si>
  <si>
    <t>Implied Post-Meeting EFFR</t>
  </si>
  <si>
    <t>Expected Move in 25bp Increments</t>
  </si>
  <si>
    <t>Base Increment (bps)</t>
  </si>
  <si>
    <t>Remainder / Fraction</t>
  </si>
  <si>
    <t>Lower Outcome (bps)</t>
  </si>
  <si>
    <t>Upper Outcome (bps)</t>
  </si>
  <si>
    <t>Interpretation: ZQ price = 100 - average daily EFFR for the contract month. The model estimates the post-meeting EFFR by weighting the pre- and post-meeting portions of the month. It then maps the expected meeting move into adjacent 25bp outcomes: for example, a 15bp expected hike implies 60% probability of +25bp and 40% probability of no change. This is an estimate, not a unique probability distribution; CME FedWatch builds a broader probability tree by linking multiple ZQ contracts and FOMC meetings.</t>
  </si>
  <si>
    <t>Sources, Methodology &amp; Model Notes</t>
  </si>
  <si>
    <t>Topic</t>
  </si>
  <si>
    <t>Source</t>
  </si>
  <si>
    <t>URL / Reference</t>
  </si>
  <si>
    <t>What the workbook uses</t>
  </si>
  <si>
    <t>Date Checked</t>
  </si>
  <si>
    <t>30-Day Fed Funds futures contract specs</t>
  </si>
  <si>
    <t>CME Group Rulebook — Chapter 22</t>
  </si>
  <si>
    <t>https://www.cmegroup.com/rulebook/CBOT/III/22.pdf</t>
  </si>
  <si>
    <t>$4,167 contract value; $41.67 per 1 bp</t>
  </si>
  <si>
    <t>2026-09-14</t>
  </si>
  <si>
    <t>ZQ price is an IMM-style index; final settlement is 100 minus the monthly average EFFR.</t>
  </si>
  <si>
    <t>FedWatch probability methodology</t>
  </si>
  <si>
    <t>CME Group</t>
  </si>
  <si>
    <t>https://www.cmegroup.com/articles/2023/understanding-the-cme-group-fedwatch-tool-methodology.html</t>
  </si>
  <si>
    <t>25bp step assumptions; adjacent-outcome probabilities; probability tree concept</t>
  </si>
  <si>
    <t>A single futures contract identifies an expected monthly rate, not a unique multi-state probability distribution.</t>
  </si>
  <si>
    <t>Fed Funds futures trade example</t>
  </si>
  <si>
    <t>https://www.cmegroup.com/education/articles-and-reports/using-fed-fund-futures-to-trade-the-fomc-decisions</t>
  </si>
  <si>
    <t>$41.67 per bp and ~$1,041.75 per 25bp</t>
  </si>
  <si>
    <t>Used for P&amp;L convention and trade interpretation.</t>
  </si>
  <si>
    <t>Federal funds effective rate</t>
  </si>
  <si>
    <t>Federal Reserve H.15</t>
  </si>
  <si>
    <t>https://www.federalreserve.gov/datadownload/Preview.aspx?pi=400&amp;preview=H15%2FH15%2FRIFSPFF_N.D&amp;rel=H15</t>
  </si>
  <si>
    <t>Illustrative current EFFR input of 3.63%</t>
  </si>
  <si>
    <t>Replace with the latest published EFFR when trading.</t>
  </si>
  <si>
    <t>FOMC meeting calendar</t>
  </si>
  <si>
    <t>Federal Reserve Board</t>
  </si>
  <si>
    <t>https://www.federalreserve.gov/newsevents/2026-september.htm</t>
  </si>
  <si>
    <t>Illustrative September 2026 meeting / effective-date setup</t>
  </si>
  <si>
    <t>Workbook uses 9/17/2026 as the illustrative effective date, yielding 16 pre- and 14 post-meeting calendar days.</t>
  </si>
  <si>
    <t>Important modeling note: CME's published FedWatch methodology is a multi-contract probability tree. This workbook's Probability sheet intentionally gives you a transparent single-meeting calculator first: it converts a monthly ZQ implied average into an estimated post-meeting EFFR, then converts the expected move into adjacent 25bp outcome probabilities. For a full forward probability tree, populate sequential ZQ contracts and meeting dates and extend the same logic across meetings.</t>
  </si>
  <si>
    <t>initial margin</t>
  </si>
  <si>
    <t>ZQ</t>
  </si>
  <si>
    <t>Current contract price</t>
  </si>
  <si>
    <t>effective federal funds rate as published by the new york fed</t>
  </si>
  <si>
    <t>Target rate</t>
  </si>
  <si>
    <t>Lower bound</t>
  </si>
  <si>
    <t>Upper bound</t>
  </si>
  <si>
    <t>Effective Federal Funds Rate</t>
  </si>
  <si>
    <t>Lower Bound</t>
  </si>
  <si>
    <t>Upper Bound</t>
  </si>
  <si>
    <t>ZQ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</si>
</sst>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\$#,##0.00;[Red]\(\$#,##0.00\);\-"/>
    <numFmt numFmtId="166" formatCode="#,##0;[Red]\(#,##0\);\-"/>
    <numFmt numFmtId="167" formatCode="0;[Red]\(0\);\-"/>
    <numFmt numFmtId="168" formatCode="0.00%;[Red]\(0.00%\);\-"/>
    <numFmt numFmtId="169" formatCode="\$#,##0.00"/>
    <numFmt numFmtId="170" formatCode="0.0%"/>
    <numFmt numFmtId="171" formatCode="0.0"/>
    <numFmt numFmtId="172" formatCode="\$#,##0;[Red]\(\$#,##0\);\-"/>
    <numFmt numFmtId="173" formatCode="0.00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164" fontId="4" fillId="4" borderId="0" xfId="0" applyNumberFormat="1" applyFont="1" applyFill="1"/>
    <xf numFmtId="165" fontId="4" fillId="4" borderId="0" xfId="0" applyNumberFormat="1" applyFont="1" applyFill="1"/>
    <xf numFmtId="165" fontId="5" fillId="0" borderId="0" xfId="0" applyNumberFormat="1" applyFont="1"/>
    <xf numFmtId="164" fontId="5" fillId="0" borderId="0" xfId="0" applyNumberFormat="1" applyFont="1"/>
    <xf numFmtId="166" fontId="4" fillId="4" borderId="0" xfId="0" applyNumberFormat="1" applyFont="1" applyFill="1"/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 applyAlignment="1">
      <alignment horizontal="center" vertical="center"/>
    </xf>
    <xf numFmtId="169" fontId="4" fillId="4" borderId="0" xfId="0" applyNumberFormat="1" applyFont="1" applyFill="1"/>
    <xf numFmtId="164" fontId="5" fillId="4" borderId="0" xfId="0" applyNumberFormat="1" applyFont="1" applyFill="1"/>
    <xf numFmtId="14" fontId="4" fillId="4" borderId="0" xfId="0" applyNumberFormat="1" applyFont="1" applyFill="1"/>
    <xf numFmtId="1" fontId="4" fillId="4" borderId="0" xfId="0" applyNumberFormat="1" applyFont="1" applyFill="1"/>
    <xf numFmtId="2" fontId="4" fillId="4" borderId="0" xfId="0" applyNumberFormat="1" applyFont="1" applyFill="1"/>
    <xf numFmtId="170" fontId="0" fillId="0" borderId="0" xfId="0" applyNumberFormat="1"/>
    <xf numFmtId="167" fontId="5" fillId="0" borderId="0" xfId="0" applyNumberFormat="1" applyFont="1"/>
    <xf numFmtId="170" fontId="5" fillId="0" borderId="0" xfId="0" applyNumberFormat="1" applyFont="1"/>
    <xf numFmtId="0" fontId="5" fillId="0" borderId="0" xfId="0" applyFont="1" applyAlignment="1">
      <alignment wrapText="1"/>
    </xf>
    <xf numFmtId="166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71" fontId="6" fillId="0" borderId="0" xfId="0" applyNumberFormat="1" applyFont="1"/>
    <xf numFmtId="170" fontId="6" fillId="0" borderId="0" xfId="0" applyNumberFormat="1" applyFont="1"/>
    <xf numFmtId="0" fontId="0" fillId="0" borderId="0" xfId="0" applyAlignment="1">
      <alignment vertical="top" wrapText="1"/>
    </xf>
    <xf numFmtId="172" fontId="0" fillId="0" borderId="0" xfId="0" applyNumberForma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vertical="top" wrapText="1"/>
    </xf>
    <xf numFmtId="173" fontId="0" fillId="0" borderId="0" xfId="0" applyNumberFormat="1"/>
    <xf numFmtId="10" fontId="0" fillId="0" borderId="0" xfId="0" applyNumberFormat="1"/>
    <xf numFmtId="173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P&amp;L by Rate Shock (bps)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P&amp;L ($)</c:v>
          </c:tx>
          <c:marker>
            <c:symbol val="none"/>
          </c:marker>
          <c:cat>
            <c:numRef>
              <c:f>Dashboard!$A$36:$A$52</c:f>
              <c:numCache>
                <c:formatCode>0;[Red]\(0\);\-</c:formatCode>
                <c:ptCount val="17"/>
                <c:pt idx="0">
                  <c:v>-200</c:v>
                </c:pt>
                <c:pt idx="1">
                  <c:v>-175</c:v>
                </c:pt>
                <c:pt idx="2">
                  <c:v>-150</c:v>
                </c:pt>
                <c:pt idx="3">
                  <c:v>-125</c:v>
                </c:pt>
                <c:pt idx="4">
                  <c:v>-100</c:v>
                </c:pt>
                <c:pt idx="5">
                  <c:v>-75</c:v>
                </c:pt>
                <c:pt idx="6">
                  <c:v>-50</c:v>
                </c:pt>
                <c:pt idx="7">
                  <c:v>-25</c:v>
                </c:pt>
                <c:pt idx="8">
                  <c:v>0</c:v>
                </c:pt>
                <c:pt idx="9">
                  <c:v>25</c:v>
                </c:pt>
                <c:pt idx="10">
                  <c:v>50</c:v>
                </c:pt>
                <c:pt idx="11">
                  <c:v>75</c:v>
                </c:pt>
                <c:pt idx="12">
                  <c:v>100</c:v>
                </c:pt>
                <c:pt idx="13">
                  <c:v>125</c:v>
                </c:pt>
                <c:pt idx="14">
                  <c:v>150</c:v>
                </c:pt>
                <c:pt idx="15">
                  <c:v>175</c:v>
                </c:pt>
                <c:pt idx="16">
                  <c:v>200</c:v>
                </c:pt>
              </c:numCache>
            </c:numRef>
          </c:cat>
          <c:val>
            <c:numRef>
              <c:f>Dashboard!$B$36:$B$52</c:f>
              <c:numCache>
                <c:formatCode>\$#,##0;[Red]\(\$#,##0\);\-</c:formatCode>
                <c:ptCount val="17"/>
                <c:pt idx="0">
                  <c:v>8334</c:v>
                </c:pt>
                <c:pt idx="1">
                  <c:v>7292.25</c:v>
                </c:pt>
                <c:pt idx="2">
                  <c:v>6250.5</c:v>
                </c:pt>
                <c:pt idx="3">
                  <c:v>5208.75</c:v>
                </c:pt>
                <c:pt idx="4">
                  <c:v>4167</c:v>
                </c:pt>
                <c:pt idx="5">
                  <c:v>3125.25</c:v>
                </c:pt>
                <c:pt idx="6">
                  <c:v>2083.5</c:v>
                </c:pt>
                <c:pt idx="7">
                  <c:v>1041.75</c:v>
                </c:pt>
                <c:pt idx="8">
                  <c:v>0</c:v>
                </c:pt>
                <c:pt idx="9">
                  <c:v>-1041.75</c:v>
                </c:pt>
                <c:pt idx="10">
                  <c:v>-2083.5</c:v>
                </c:pt>
                <c:pt idx="11">
                  <c:v>-3125.25</c:v>
                </c:pt>
                <c:pt idx="12">
                  <c:v>-4167</c:v>
                </c:pt>
                <c:pt idx="13">
                  <c:v>-5208.75</c:v>
                </c:pt>
                <c:pt idx="14">
                  <c:v>-6250.5</c:v>
                </c:pt>
                <c:pt idx="15">
                  <c:v>-7292.25</c:v>
                </c:pt>
                <c:pt idx="16">
                  <c:v>-8334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27-48F5-B272-E3EE2A8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;[Red]\(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H37" sqref="H37"/>
    </sheetView>
  </sheetViews>
  <sheetFormatPr defaultRowHeight="14.25"/>
  <cols>
    <col min="1" max="1" width="14" customWidth="1"/>
    <col min="2" max="2" width="12" customWidth="1"/>
    <col min="3" max="3" width="9" customWidth="1"/>
    <col min="4" max="4" width="10" customWidth="1"/>
    <col min="5" max="7" width="12" customWidth="1"/>
    <col min="8" max="8" width="22" customWidth="1"/>
    <col min="9" max="9" width="18" customWidth="1"/>
    <col min="10" max="10" width="16" customWidth="1"/>
    <col min="11" max="11" width="22" customWidth="1"/>
    <col min="12" max="12" width="19" customWidth="1"/>
  </cols>
  <sheetData>
    <row r="1" spans="1:12" ht="24" customHeight="1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 ht="15">
      <c r="A3" s="32" t="s">
        <v>22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15">
      <c r="A4" s="2" t="s">
        <v>23</v>
      </c>
      <c r="B4" s="2" t="s">
        <v>24</v>
      </c>
      <c r="C4" s="2" t="s">
        <v>25</v>
      </c>
      <c r="D4" s="2" t="s">
        <v>3</v>
      </c>
      <c r="E4" s="2" t="s">
        <v>6</v>
      </c>
      <c r="F4" s="2" t="s">
        <v>8</v>
      </c>
      <c r="G4" s="2" t="s">
        <v>26</v>
      </c>
      <c r="H4" s="2" t="s">
        <v>27</v>
      </c>
      <c r="I4" s="2" t="s">
        <v>10</v>
      </c>
      <c r="J4" s="2" t="s">
        <v>12</v>
      </c>
      <c r="K4" s="2" t="s">
        <v>28</v>
      </c>
      <c r="L4" s="2" t="s">
        <v>29</v>
      </c>
    </row>
    <row r="5" spans="1:12">
      <c r="A5" s="3" t="s">
        <v>30</v>
      </c>
      <c r="B5" s="3" t="s">
        <v>31</v>
      </c>
      <c r="C5" s="3" t="s">
        <v>32</v>
      </c>
      <c r="D5" s="9">
        <v>1</v>
      </c>
      <c r="E5" s="5">
        <v>96.267499999999998</v>
      </c>
      <c r="F5" s="5">
        <v>96.375</v>
      </c>
      <c r="G5" s="5">
        <f>F5</f>
        <v>96.375</v>
      </c>
      <c r="H5" s="6">
        <v>0</v>
      </c>
      <c r="I5" s="7">
        <f t="shared" ref="I5:I14" si="0">IF(OR(E5="",F5="",D5=0),0,(F5-E5)*4167*IF(C5="Long",1,-1)*D5)</f>
        <v>447.95250000000709</v>
      </c>
      <c r="J5" s="7">
        <f t="shared" ref="J5:J14" si="1">IF(OR(E5="",G5="",D5=0),0,(G5-E5)*4167*IF(C5="Long",1,-1)*D5)</f>
        <v>447.95250000000709</v>
      </c>
      <c r="K5" s="7">
        <f t="shared" ref="K5:K14" si="2">J5-(H5*D5)</f>
        <v>447.95250000000709</v>
      </c>
      <c r="L5" s="8">
        <f t="shared" ref="L5:L14" si="3">IF(OR(E5="",D5=0),0,E5+IF(C5="Long",1,-1)*(H5/4167))</f>
        <v>96.267499999999998</v>
      </c>
    </row>
    <row r="6" spans="1:12">
      <c r="A6" s="3" t="s">
        <v>33</v>
      </c>
      <c r="B6" s="3"/>
      <c r="C6" s="3" t="s">
        <v>32</v>
      </c>
      <c r="D6" s="9">
        <v>0</v>
      </c>
      <c r="E6" s="5"/>
      <c r="F6" s="5"/>
      <c r="G6" s="5"/>
      <c r="H6" s="6">
        <f>H5</f>
        <v>0</v>
      </c>
      <c r="I6" s="7">
        <f t="shared" si="0"/>
        <v>0</v>
      </c>
      <c r="J6" s="7">
        <f t="shared" si="1"/>
        <v>0</v>
      </c>
      <c r="K6" s="7">
        <f t="shared" si="2"/>
        <v>0</v>
      </c>
      <c r="L6" s="8">
        <f t="shared" si="3"/>
        <v>0</v>
      </c>
    </row>
    <row r="7" spans="1:12">
      <c r="A7" s="3" t="s">
        <v>34</v>
      </c>
      <c r="B7" s="3"/>
      <c r="C7" s="3" t="s">
        <v>32</v>
      </c>
      <c r="D7" s="9">
        <v>0</v>
      </c>
      <c r="E7" s="5"/>
      <c r="F7" s="5"/>
      <c r="G7" s="5"/>
      <c r="H7" s="6">
        <f t="shared" ref="H7:H14" si="4">H6</f>
        <v>0</v>
      </c>
      <c r="I7" s="7">
        <f t="shared" si="0"/>
        <v>0</v>
      </c>
      <c r="J7" s="7">
        <f t="shared" si="1"/>
        <v>0</v>
      </c>
      <c r="K7" s="7">
        <f t="shared" si="2"/>
        <v>0</v>
      </c>
      <c r="L7" s="8">
        <f t="shared" si="3"/>
        <v>0</v>
      </c>
    </row>
    <row r="8" spans="1:12">
      <c r="A8" s="3" t="s">
        <v>35</v>
      </c>
      <c r="B8" s="3"/>
      <c r="C8" s="3" t="s">
        <v>32</v>
      </c>
      <c r="D8" s="9">
        <v>0</v>
      </c>
      <c r="E8" s="5"/>
      <c r="F8" s="5"/>
      <c r="G8" s="5"/>
      <c r="H8" s="6">
        <f t="shared" si="4"/>
        <v>0</v>
      </c>
      <c r="I8" s="7">
        <f t="shared" si="0"/>
        <v>0</v>
      </c>
      <c r="J8" s="7">
        <f t="shared" si="1"/>
        <v>0</v>
      </c>
      <c r="K8" s="7">
        <f t="shared" si="2"/>
        <v>0</v>
      </c>
      <c r="L8" s="8">
        <f t="shared" si="3"/>
        <v>0</v>
      </c>
    </row>
    <row r="9" spans="1:12">
      <c r="A9" s="3" t="s">
        <v>36</v>
      </c>
      <c r="B9" s="3"/>
      <c r="C9" s="3" t="s">
        <v>32</v>
      </c>
      <c r="D9" s="9">
        <v>0</v>
      </c>
      <c r="E9" s="5"/>
      <c r="F9" s="5"/>
      <c r="G9" s="5"/>
      <c r="H9" s="6">
        <f t="shared" si="4"/>
        <v>0</v>
      </c>
      <c r="I9" s="7">
        <f t="shared" si="0"/>
        <v>0</v>
      </c>
      <c r="J9" s="7">
        <f t="shared" si="1"/>
        <v>0</v>
      </c>
      <c r="K9" s="7">
        <f t="shared" si="2"/>
        <v>0</v>
      </c>
      <c r="L9" s="8">
        <f t="shared" si="3"/>
        <v>0</v>
      </c>
    </row>
    <row r="10" spans="1:12">
      <c r="A10" s="3" t="s">
        <v>37</v>
      </c>
      <c r="B10" s="3"/>
      <c r="C10" s="3" t="s">
        <v>32</v>
      </c>
      <c r="D10" s="9">
        <v>0</v>
      </c>
      <c r="E10" s="5"/>
      <c r="F10" s="5"/>
      <c r="G10" s="5"/>
      <c r="H10" s="6">
        <f t="shared" si="4"/>
        <v>0</v>
      </c>
      <c r="I10" s="7">
        <f t="shared" si="0"/>
        <v>0</v>
      </c>
      <c r="J10" s="7">
        <f t="shared" si="1"/>
        <v>0</v>
      </c>
      <c r="K10" s="7">
        <f t="shared" si="2"/>
        <v>0</v>
      </c>
      <c r="L10" s="8">
        <f t="shared" si="3"/>
        <v>0</v>
      </c>
    </row>
    <row r="11" spans="1:12">
      <c r="A11" s="3" t="s">
        <v>38</v>
      </c>
      <c r="B11" s="3"/>
      <c r="C11" s="3" t="s">
        <v>32</v>
      </c>
      <c r="D11" s="9">
        <v>0</v>
      </c>
      <c r="E11" s="5"/>
      <c r="F11" s="5"/>
      <c r="G11" s="5"/>
      <c r="H11" s="6">
        <f t="shared" si="4"/>
        <v>0</v>
      </c>
      <c r="I11" s="7">
        <f t="shared" si="0"/>
        <v>0</v>
      </c>
      <c r="J11" s="7">
        <f t="shared" si="1"/>
        <v>0</v>
      </c>
      <c r="K11" s="7">
        <f t="shared" si="2"/>
        <v>0</v>
      </c>
      <c r="L11" s="8">
        <f t="shared" si="3"/>
        <v>0</v>
      </c>
    </row>
    <row r="12" spans="1:12">
      <c r="A12" s="3" t="s">
        <v>39</v>
      </c>
      <c r="B12" s="3"/>
      <c r="C12" s="3" t="s">
        <v>32</v>
      </c>
      <c r="D12" s="9">
        <v>0</v>
      </c>
      <c r="E12" s="5"/>
      <c r="F12" s="5"/>
      <c r="G12" s="5"/>
      <c r="H12" s="6">
        <f t="shared" si="4"/>
        <v>0</v>
      </c>
      <c r="I12" s="7">
        <f t="shared" si="0"/>
        <v>0</v>
      </c>
      <c r="J12" s="7">
        <f t="shared" si="1"/>
        <v>0</v>
      </c>
      <c r="K12" s="7">
        <f t="shared" si="2"/>
        <v>0</v>
      </c>
      <c r="L12" s="8">
        <f t="shared" si="3"/>
        <v>0</v>
      </c>
    </row>
    <row r="13" spans="1:12">
      <c r="A13" s="3" t="s">
        <v>40</v>
      </c>
      <c r="B13" s="3"/>
      <c r="C13" s="3" t="s">
        <v>32</v>
      </c>
      <c r="D13" s="9">
        <v>0</v>
      </c>
      <c r="E13" s="5"/>
      <c r="F13" s="5"/>
      <c r="G13" s="5"/>
      <c r="H13" s="6">
        <f t="shared" si="4"/>
        <v>0</v>
      </c>
      <c r="I13" s="7">
        <f t="shared" si="0"/>
        <v>0</v>
      </c>
      <c r="J13" s="7">
        <f t="shared" si="1"/>
        <v>0</v>
      </c>
      <c r="K13" s="7">
        <f t="shared" si="2"/>
        <v>0</v>
      </c>
      <c r="L13" s="8">
        <f t="shared" si="3"/>
        <v>0</v>
      </c>
    </row>
    <row r="14" spans="1:12">
      <c r="A14" s="3" t="s">
        <v>41</v>
      </c>
      <c r="B14" s="3"/>
      <c r="C14" s="3" t="s">
        <v>32</v>
      </c>
      <c r="D14" s="9">
        <v>0</v>
      </c>
      <c r="E14" s="5"/>
      <c r="F14" s="5"/>
      <c r="G14" s="5"/>
      <c r="H14" s="6">
        <f t="shared" si="4"/>
        <v>0</v>
      </c>
      <c r="I14" s="7">
        <f t="shared" si="0"/>
        <v>0</v>
      </c>
      <c r="J14" s="7">
        <f t="shared" si="1"/>
        <v>0</v>
      </c>
      <c r="K14" s="7">
        <f t="shared" si="2"/>
        <v>0</v>
      </c>
      <c r="L14" s="8">
        <f t="shared" si="3"/>
        <v>0</v>
      </c>
    </row>
    <row r="17" spans="1:12" ht="15">
      <c r="A17" s="32" t="s">
        <v>42</v>
      </c>
      <c r="B17" s="32"/>
      <c r="C17" s="32"/>
      <c r="D17" s="32"/>
      <c r="E17" s="32"/>
      <c r="F17" s="32"/>
      <c r="H17" s="32" t="s">
        <v>43</v>
      </c>
      <c r="I17" s="32"/>
      <c r="J17" s="32"/>
      <c r="K17" s="32"/>
      <c r="L17" s="32"/>
    </row>
    <row r="18" spans="1:12" ht="15">
      <c r="A18" s="2" t="s">
        <v>19</v>
      </c>
      <c r="B18" s="2" t="s">
        <v>44</v>
      </c>
      <c r="C18" s="2" t="s">
        <v>45</v>
      </c>
      <c r="D18" s="2" t="s">
        <v>46</v>
      </c>
      <c r="E18" s="2" t="s">
        <v>20</v>
      </c>
      <c r="F18" s="2" t="s">
        <v>28</v>
      </c>
      <c r="H18" s="14" t="s">
        <v>47</v>
      </c>
      <c r="I18" s="15">
        <v>4167</v>
      </c>
    </row>
    <row r="19" spans="1:12" ht="15">
      <c r="A19" s="10">
        <v>-200</v>
      </c>
      <c r="B19" s="11">
        <f t="shared" ref="B19:B36" si="5">A19/100</f>
        <v>-2</v>
      </c>
      <c r="C19" s="12">
        <f t="shared" ref="C19:C36" si="6">IF($E$5="",0,$E$5-B19)</f>
        <v>98.267499999999998</v>
      </c>
      <c r="D19" s="13">
        <f t="shared" ref="D19:D36" si="7">-A19*41.67*IF($C$5="Long",1,-1)</f>
        <v>8334</v>
      </c>
      <c r="E19" s="13">
        <f t="shared" ref="E19:E36" si="8">D19*$D$5</f>
        <v>8334</v>
      </c>
      <c r="F19" s="13">
        <f t="shared" ref="F19:F36" si="9">E19-($H$5*$D$5)</f>
        <v>8334</v>
      </c>
      <c r="H19" s="14" t="s">
        <v>48</v>
      </c>
      <c r="I19" s="15">
        <v>41.67</v>
      </c>
    </row>
    <row r="20" spans="1:12" ht="15">
      <c r="A20" s="10">
        <v>-175</v>
      </c>
      <c r="B20" s="11">
        <f t="shared" si="5"/>
        <v>-1.75</v>
      </c>
      <c r="C20" s="12">
        <f t="shared" si="6"/>
        <v>98.017499999999998</v>
      </c>
      <c r="D20" s="13">
        <f t="shared" si="7"/>
        <v>7292.25</v>
      </c>
      <c r="E20" s="13">
        <f t="shared" si="8"/>
        <v>7292.25</v>
      </c>
      <c r="F20" s="13">
        <f t="shared" si="9"/>
        <v>7292.25</v>
      </c>
      <c r="H20" s="14" t="s">
        <v>49</v>
      </c>
      <c r="I20" s="15">
        <v>1041.75</v>
      </c>
    </row>
    <row r="21" spans="1:12" ht="15">
      <c r="A21" s="10">
        <v>-150</v>
      </c>
      <c r="B21" s="11">
        <f t="shared" si="5"/>
        <v>-1.5</v>
      </c>
      <c r="C21" s="12">
        <f t="shared" si="6"/>
        <v>97.767499999999998</v>
      </c>
      <c r="D21" s="13">
        <f t="shared" si="7"/>
        <v>6250.5</v>
      </c>
      <c r="E21" s="13">
        <f t="shared" si="8"/>
        <v>6250.5</v>
      </c>
      <c r="F21" s="13">
        <f t="shared" si="9"/>
        <v>6250.5</v>
      </c>
      <c r="H21" s="14" t="s">
        <v>50</v>
      </c>
      <c r="I21" s="3" t="s">
        <v>51</v>
      </c>
    </row>
    <row r="22" spans="1:12" ht="15">
      <c r="A22" s="10">
        <v>-125</v>
      </c>
      <c r="B22" s="11">
        <f t="shared" si="5"/>
        <v>-1.25</v>
      </c>
      <c r="C22" s="12">
        <f t="shared" si="6"/>
        <v>97.517499999999998</v>
      </c>
      <c r="D22" s="13">
        <f t="shared" si="7"/>
        <v>5208.75</v>
      </c>
      <c r="E22" s="13">
        <f t="shared" si="8"/>
        <v>5208.75</v>
      </c>
      <c r="F22" s="13">
        <f t="shared" si="9"/>
        <v>5208.75</v>
      </c>
      <c r="H22" s="14" t="s">
        <v>52</v>
      </c>
      <c r="I22" s="3" t="s">
        <v>53</v>
      </c>
    </row>
    <row r="23" spans="1:12" ht="15">
      <c r="A23" s="10">
        <v>-100</v>
      </c>
      <c r="B23" s="11">
        <f t="shared" si="5"/>
        <v>-1</v>
      </c>
      <c r="C23" s="12">
        <f t="shared" si="6"/>
        <v>97.267499999999998</v>
      </c>
      <c r="D23" s="13">
        <f t="shared" si="7"/>
        <v>4167</v>
      </c>
      <c r="E23" s="13">
        <f t="shared" si="8"/>
        <v>4167</v>
      </c>
      <c r="F23" s="13">
        <f t="shared" si="9"/>
        <v>4167</v>
      </c>
      <c r="H23" s="2" t="s">
        <v>54</v>
      </c>
      <c r="I23" s="3" t="s">
        <v>55</v>
      </c>
    </row>
    <row r="24" spans="1:12">
      <c r="A24" s="10">
        <v>-75</v>
      </c>
      <c r="B24" s="11">
        <f t="shared" si="5"/>
        <v>-0.75</v>
      </c>
      <c r="C24" s="12">
        <f t="shared" si="6"/>
        <v>97.017499999999998</v>
      </c>
      <c r="D24" s="13">
        <f t="shared" si="7"/>
        <v>3125.25</v>
      </c>
      <c r="E24" s="13">
        <f t="shared" si="8"/>
        <v>3125.25</v>
      </c>
      <c r="F24" s="13">
        <f t="shared" si="9"/>
        <v>3125.25</v>
      </c>
    </row>
    <row r="25" spans="1:12">
      <c r="A25" s="10">
        <v>-50</v>
      </c>
      <c r="B25" s="11">
        <f t="shared" si="5"/>
        <v>-0.5</v>
      </c>
      <c r="C25" s="12">
        <f t="shared" si="6"/>
        <v>96.767499999999998</v>
      </c>
      <c r="D25" s="13">
        <f t="shared" si="7"/>
        <v>2083.5</v>
      </c>
      <c r="E25" s="13">
        <f t="shared" si="8"/>
        <v>2083.5</v>
      </c>
      <c r="F25" s="13">
        <f t="shared" si="9"/>
        <v>2083.5</v>
      </c>
      <c r="H25" s="34" t="s">
        <v>56</v>
      </c>
      <c r="I25" s="34"/>
      <c r="J25" s="34"/>
      <c r="K25" s="34"/>
      <c r="L25" s="34"/>
    </row>
    <row r="26" spans="1:12">
      <c r="A26" s="10">
        <v>-25</v>
      </c>
      <c r="B26" s="11">
        <f t="shared" si="5"/>
        <v>-0.25</v>
      </c>
      <c r="C26" s="12">
        <f t="shared" si="6"/>
        <v>96.517499999999998</v>
      </c>
      <c r="D26" s="13">
        <f t="shared" si="7"/>
        <v>1041.75</v>
      </c>
      <c r="E26" s="13">
        <f t="shared" si="8"/>
        <v>1041.75</v>
      </c>
      <c r="F26" s="13">
        <f t="shared" si="9"/>
        <v>1041.75</v>
      </c>
    </row>
    <row r="27" spans="1:12">
      <c r="A27" s="10">
        <v>0</v>
      </c>
      <c r="B27" s="11">
        <f t="shared" si="5"/>
        <v>0</v>
      </c>
      <c r="C27" s="12">
        <f t="shared" si="6"/>
        <v>96.267499999999998</v>
      </c>
      <c r="D27" s="13">
        <f t="shared" si="7"/>
        <v>0</v>
      </c>
      <c r="E27" s="13">
        <f t="shared" si="8"/>
        <v>0</v>
      </c>
      <c r="F27" s="13">
        <f t="shared" si="9"/>
        <v>0</v>
      </c>
    </row>
    <row r="28" spans="1:12">
      <c r="A28" s="10">
        <v>25</v>
      </c>
      <c r="B28" s="11">
        <f t="shared" si="5"/>
        <v>0.25</v>
      </c>
      <c r="C28" s="12">
        <f t="shared" si="6"/>
        <v>96.017499999999998</v>
      </c>
      <c r="D28" s="13">
        <f t="shared" si="7"/>
        <v>-1041.75</v>
      </c>
      <c r="E28" s="13">
        <f t="shared" si="8"/>
        <v>-1041.75</v>
      </c>
      <c r="F28" s="13">
        <f t="shared" si="9"/>
        <v>-1041.75</v>
      </c>
    </row>
    <row r="29" spans="1:12">
      <c r="A29" s="10">
        <v>50</v>
      </c>
      <c r="B29" s="11">
        <f t="shared" si="5"/>
        <v>0.5</v>
      </c>
      <c r="C29" s="12">
        <f t="shared" si="6"/>
        <v>95.767499999999998</v>
      </c>
      <c r="D29" s="13">
        <f t="shared" si="7"/>
        <v>-2083.5</v>
      </c>
      <c r="E29" s="13">
        <f t="shared" si="8"/>
        <v>-2083.5</v>
      </c>
      <c r="F29" s="13">
        <f t="shared" si="9"/>
        <v>-2083.5</v>
      </c>
    </row>
    <row r="30" spans="1:12">
      <c r="A30" s="10">
        <v>75</v>
      </c>
      <c r="B30" s="11">
        <f t="shared" si="5"/>
        <v>0.75</v>
      </c>
      <c r="C30" s="12">
        <f t="shared" si="6"/>
        <v>95.517499999999998</v>
      </c>
      <c r="D30" s="13">
        <f t="shared" si="7"/>
        <v>-3125.25</v>
      </c>
      <c r="E30" s="13">
        <f t="shared" si="8"/>
        <v>-3125.25</v>
      </c>
      <c r="F30" s="13">
        <f t="shared" si="9"/>
        <v>-3125.25</v>
      </c>
    </row>
    <row r="31" spans="1:12">
      <c r="A31" s="10">
        <v>100</v>
      </c>
      <c r="B31" s="11">
        <f t="shared" si="5"/>
        <v>1</v>
      </c>
      <c r="C31" s="12">
        <f t="shared" si="6"/>
        <v>95.267499999999998</v>
      </c>
      <c r="D31" s="13">
        <f t="shared" si="7"/>
        <v>-4167</v>
      </c>
      <c r="E31" s="13">
        <f t="shared" si="8"/>
        <v>-4167</v>
      </c>
      <c r="F31" s="13">
        <f t="shared" si="9"/>
        <v>-4167</v>
      </c>
    </row>
    <row r="32" spans="1:12">
      <c r="A32" s="10">
        <v>125</v>
      </c>
      <c r="B32" s="11">
        <f t="shared" si="5"/>
        <v>1.25</v>
      </c>
      <c r="C32" s="12">
        <f t="shared" si="6"/>
        <v>95.017499999999998</v>
      </c>
      <c r="D32" s="13">
        <f t="shared" si="7"/>
        <v>-5208.75</v>
      </c>
      <c r="E32" s="13">
        <f t="shared" si="8"/>
        <v>-5208.75</v>
      </c>
      <c r="F32" s="13">
        <f t="shared" si="9"/>
        <v>-5208.75</v>
      </c>
      <c r="I32">
        <v>3.75</v>
      </c>
    </row>
    <row r="33" spans="1:9">
      <c r="A33" s="10">
        <v>150</v>
      </c>
      <c r="B33" s="11">
        <f t="shared" si="5"/>
        <v>1.5</v>
      </c>
      <c r="C33" s="12">
        <f t="shared" si="6"/>
        <v>94.767499999999998</v>
      </c>
      <c r="D33" s="13">
        <f t="shared" si="7"/>
        <v>-6250.5</v>
      </c>
      <c r="E33" s="13">
        <f t="shared" si="8"/>
        <v>-6250.5</v>
      </c>
      <c r="F33" s="13">
        <f t="shared" si="9"/>
        <v>-6250.5</v>
      </c>
      <c r="I33">
        <f>100-I32</f>
        <v>96.25</v>
      </c>
    </row>
    <row r="34" spans="1:9">
      <c r="A34" s="10">
        <v>175</v>
      </c>
      <c r="B34" s="11">
        <f t="shared" si="5"/>
        <v>1.75</v>
      </c>
      <c r="C34" s="12">
        <f t="shared" si="6"/>
        <v>94.517499999999998</v>
      </c>
      <c r="D34" s="13">
        <f t="shared" si="7"/>
        <v>-7292.25</v>
      </c>
      <c r="E34" s="13">
        <f t="shared" si="8"/>
        <v>-7292.25</v>
      </c>
      <c r="F34" s="13">
        <f t="shared" si="9"/>
        <v>-7292.25</v>
      </c>
    </row>
    <row r="35" spans="1:9">
      <c r="A35" s="10">
        <v>200</v>
      </c>
      <c r="B35" s="11">
        <f t="shared" si="5"/>
        <v>2</v>
      </c>
      <c r="C35" s="12">
        <f t="shared" si="6"/>
        <v>94.267499999999998</v>
      </c>
      <c r="D35" s="13">
        <f t="shared" si="7"/>
        <v>-8334</v>
      </c>
      <c r="E35" s="13">
        <f t="shared" si="8"/>
        <v>-8334</v>
      </c>
      <c r="F35" s="13">
        <f t="shared" si="9"/>
        <v>-8334</v>
      </c>
    </row>
    <row r="36" spans="1:9">
      <c r="A36" s="10"/>
      <c r="B36" s="11">
        <f t="shared" si="5"/>
        <v>0</v>
      </c>
      <c r="C36" s="12">
        <f t="shared" si="6"/>
        <v>96.267499999999998</v>
      </c>
      <c r="D36" s="13">
        <f t="shared" si="7"/>
        <v>0</v>
      </c>
      <c r="E36" s="13">
        <f t="shared" si="8"/>
        <v>0</v>
      </c>
      <c r="F36" s="13">
        <f t="shared" si="9"/>
        <v>0</v>
      </c>
      <c r="H36" t="s">
        <v>123</v>
      </c>
      <c r="I36">
        <v>1348</v>
      </c>
    </row>
  </sheetData>
  <mergeCells count="5">
    <mergeCell ref="A1:L1"/>
    <mergeCell ref="A3:L3"/>
    <mergeCell ref="A17:F17"/>
    <mergeCell ref="H17:L17"/>
    <mergeCell ref="H25:L25"/>
  </mergeCells>
  <conditionalFormatting sqref="F19:F36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K5:K14">
    <cfRule type="cellIs" dxfId="0" priority="1" operator="lessThan">
      <formula>0</formula>
    </cfRule>
  </conditionalFormatting>
  <dataValidations count="1">
    <dataValidation type="list" sqref="C5:C14" xr:uid="{00000000-0002-0000-0100-000000000000}">
      <formula1>"Long,Short"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workbookViewId="0">
      <selection activeCell="N7" sqref="N7"/>
    </sheetView>
  </sheetViews>
  <sheetFormatPr defaultRowHeight="14.25"/>
  <cols>
    <col min="1" max="1" width="25" customWidth="1"/>
    <col min="2" max="2" width="18" customWidth="1"/>
    <col min="3" max="5" width="3" customWidth="1"/>
    <col min="6" max="6" width="28" customWidth="1"/>
    <col min="7" max="7" width="18" customWidth="1"/>
    <col min="8" max="10" width="3" customWidth="1"/>
  </cols>
  <sheetData>
    <row r="1" spans="1:14" ht="26.1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3" spans="1:14" ht="15">
      <c r="A3" s="32" t="s">
        <v>1</v>
      </c>
      <c r="B3" s="32"/>
      <c r="C3" s="32"/>
      <c r="D3" s="32"/>
      <c r="F3" s="32" t="s">
        <v>2</v>
      </c>
      <c r="G3" s="32"/>
      <c r="H3" s="32"/>
      <c r="I3" s="32"/>
      <c r="J3" s="32"/>
    </row>
    <row r="4" spans="1:14" ht="15">
      <c r="A4" s="14" t="s">
        <v>3</v>
      </c>
      <c r="B4" s="24">
        <f>'Trade Model'!D5</f>
        <v>1</v>
      </c>
      <c r="F4" s="2" t="s">
        <v>4</v>
      </c>
      <c r="G4" s="2" t="s">
        <v>5</v>
      </c>
    </row>
    <row r="5" spans="1:14" ht="15">
      <c r="A5" s="14" t="s">
        <v>6</v>
      </c>
      <c r="B5" s="25">
        <f>'Trade Model'!E5</f>
        <v>96.267499999999998</v>
      </c>
      <c r="F5" s="14" t="s">
        <v>7</v>
      </c>
      <c r="G5" s="25">
        <f>Probability!B5</f>
        <v>96.3</v>
      </c>
    </row>
    <row r="6" spans="1:14" ht="15">
      <c r="A6" s="14" t="s">
        <v>8</v>
      </c>
      <c r="B6" s="25">
        <f>'Trade Model'!F5</f>
        <v>96.375</v>
      </c>
      <c r="F6" s="14" t="s">
        <v>9</v>
      </c>
      <c r="G6" s="25">
        <f>Probability!B6</f>
        <v>3.7000000000000028</v>
      </c>
      <c r="N6">
        <v>1348</v>
      </c>
    </row>
    <row r="7" spans="1:14" ht="15">
      <c r="A7" s="14" t="s">
        <v>10</v>
      </c>
      <c r="B7" s="26">
        <f>'Trade Model'!I5</f>
        <v>447.95250000000709</v>
      </c>
      <c r="F7" s="14" t="s">
        <v>11</v>
      </c>
      <c r="G7" s="27">
        <f>Probability!B17</f>
        <v>15.000000000000613</v>
      </c>
      <c r="N7">
        <f>B7/N6</f>
        <v>0.33230897626113287</v>
      </c>
    </row>
    <row r="8" spans="1:14" ht="15">
      <c r="A8" s="14" t="s">
        <v>12</v>
      </c>
      <c r="B8" s="26">
        <f>'Trade Model'!J5</f>
        <v>447.95250000000709</v>
      </c>
      <c r="F8" s="14" t="s">
        <v>13</v>
      </c>
      <c r="G8" s="28">
        <f>Probability!K7</f>
        <v>0.60000000000002451</v>
      </c>
    </row>
    <row r="9" spans="1:14" ht="15">
      <c r="A9" s="2" t="s">
        <v>14</v>
      </c>
      <c r="B9" s="26">
        <f>'Trade Model'!K5</f>
        <v>447.95250000000709</v>
      </c>
      <c r="F9" s="14" t="s">
        <v>15</v>
      </c>
      <c r="G9" s="28">
        <f>Probability!K8</f>
        <v>0</v>
      </c>
    </row>
    <row r="10" spans="1:14" ht="15">
      <c r="F10" s="2" t="s">
        <v>16</v>
      </c>
      <c r="G10" s="28">
        <f>Probability!K6</f>
        <v>0.39999999999997549</v>
      </c>
    </row>
    <row r="12" spans="1:14" ht="15">
      <c r="A12" s="32" t="s">
        <v>17</v>
      </c>
      <c r="B12" s="32"/>
      <c r="C12" s="32"/>
      <c r="D12" s="32"/>
      <c r="E12" s="32"/>
      <c r="F12" s="32"/>
      <c r="G12" s="32"/>
      <c r="H12" s="32"/>
      <c r="I12" s="32"/>
      <c r="J12" s="32"/>
    </row>
    <row r="31" spans="1:10">
      <c r="A31" s="33" t="s">
        <v>18</v>
      </c>
      <c r="B31" s="33"/>
      <c r="C31" s="33"/>
      <c r="D31" s="33"/>
      <c r="E31" s="33"/>
      <c r="F31" s="33"/>
      <c r="G31" s="33"/>
      <c r="H31" s="33"/>
      <c r="I31" s="33"/>
      <c r="J31" s="33"/>
    </row>
    <row r="32" spans="1:10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spans="1:10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5" spans="1:10" ht="15">
      <c r="A35" s="2" t="s">
        <v>19</v>
      </c>
      <c r="B35" s="2" t="s">
        <v>20</v>
      </c>
    </row>
    <row r="36" spans="1:10">
      <c r="A36" s="10">
        <f>'Trade Model'!A19</f>
        <v>-200</v>
      </c>
      <c r="B36" s="30">
        <f>'Trade Model'!E19</f>
        <v>8334</v>
      </c>
    </row>
    <row r="37" spans="1:10">
      <c r="A37" s="10">
        <f>'Trade Model'!A20</f>
        <v>-175</v>
      </c>
      <c r="B37" s="30">
        <f>'Trade Model'!E20</f>
        <v>7292.25</v>
      </c>
    </row>
    <row r="38" spans="1:10">
      <c r="A38" s="10">
        <f>'Trade Model'!A21</f>
        <v>-150</v>
      </c>
      <c r="B38" s="30">
        <f>'Trade Model'!E21</f>
        <v>6250.5</v>
      </c>
    </row>
    <row r="39" spans="1:10">
      <c r="A39" s="10">
        <f>'Trade Model'!A22</f>
        <v>-125</v>
      </c>
      <c r="B39" s="30">
        <f>'Trade Model'!E22</f>
        <v>5208.75</v>
      </c>
    </row>
    <row r="40" spans="1:10">
      <c r="A40" s="10">
        <f>'Trade Model'!A23</f>
        <v>-100</v>
      </c>
      <c r="B40" s="30">
        <f>'Trade Model'!E23</f>
        <v>4167</v>
      </c>
    </row>
    <row r="41" spans="1:10">
      <c r="A41" s="10">
        <f>'Trade Model'!A24</f>
        <v>-75</v>
      </c>
      <c r="B41" s="30">
        <f>'Trade Model'!E24</f>
        <v>3125.25</v>
      </c>
    </row>
    <row r="42" spans="1:10">
      <c r="A42" s="10">
        <f>'Trade Model'!A25</f>
        <v>-50</v>
      </c>
      <c r="B42" s="30">
        <f>'Trade Model'!E25</f>
        <v>2083.5</v>
      </c>
    </row>
    <row r="43" spans="1:10">
      <c r="A43" s="10">
        <f>'Trade Model'!A26</f>
        <v>-25</v>
      </c>
      <c r="B43" s="30">
        <f>'Trade Model'!E26</f>
        <v>1041.75</v>
      </c>
    </row>
    <row r="44" spans="1:10">
      <c r="A44" s="10">
        <f>'Trade Model'!A27</f>
        <v>0</v>
      </c>
      <c r="B44" s="30">
        <f>'Trade Model'!E27</f>
        <v>0</v>
      </c>
    </row>
    <row r="45" spans="1:10">
      <c r="A45" s="10">
        <f>'Trade Model'!A28</f>
        <v>25</v>
      </c>
      <c r="B45" s="30">
        <f>'Trade Model'!E28</f>
        <v>-1041.75</v>
      </c>
    </row>
    <row r="46" spans="1:10">
      <c r="A46" s="10">
        <f>'Trade Model'!A29</f>
        <v>50</v>
      </c>
      <c r="B46" s="30">
        <f>'Trade Model'!E29</f>
        <v>-2083.5</v>
      </c>
    </row>
    <row r="47" spans="1:10">
      <c r="A47" s="10">
        <f>'Trade Model'!A30</f>
        <v>75</v>
      </c>
      <c r="B47" s="30">
        <f>'Trade Model'!E30</f>
        <v>-3125.25</v>
      </c>
    </row>
    <row r="48" spans="1:10">
      <c r="A48" s="10">
        <f>'Trade Model'!A31</f>
        <v>100</v>
      </c>
      <c r="B48" s="30">
        <f>'Trade Model'!E31</f>
        <v>-4167</v>
      </c>
    </row>
    <row r="49" spans="1:2">
      <c r="A49" s="10">
        <f>'Trade Model'!A32</f>
        <v>125</v>
      </c>
      <c r="B49" s="30">
        <f>'Trade Model'!E32</f>
        <v>-5208.75</v>
      </c>
    </row>
    <row r="50" spans="1:2">
      <c r="A50" s="10">
        <f>'Trade Model'!A33</f>
        <v>150</v>
      </c>
      <c r="B50" s="30">
        <f>'Trade Model'!E33</f>
        <v>-6250.5</v>
      </c>
    </row>
    <row r="51" spans="1:2">
      <c r="A51" s="10">
        <f>'Trade Model'!A34</f>
        <v>175</v>
      </c>
      <c r="B51" s="30">
        <f>'Trade Model'!E34</f>
        <v>-7292.25</v>
      </c>
    </row>
    <row r="52" spans="1:2">
      <c r="A52" s="10">
        <f>'Trade Model'!A35</f>
        <v>200</v>
      </c>
      <c r="B52" s="30">
        <f>'Trade Model'!E35</f>
        <v>-8334</v>
      </c>
    </row>
  </sheetData>
  <mergeCells count="5">
    <mergeCell ref="A1:J1"/>
    <mergeCell ref="A3:D3"/>
    <mergeCell ref="F3:J3"/>
    <mergeCell ref="A12:J12"/>
    <mergeCell ref="A31:J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abSelected="1" workbookViewId="0">
      <selection activeCell="B6" sqref="B6"/>
    </sheetView>
  </sheetViews>
  <sheetFormatPr defaultRowHeight="14.25"/>
  <cols>
    <col min="1" max="1" width="28" customWidth="1"/>
    <col min="2" max="2" width="22" customWidth="1"/>
    <col min="3" max="3" width="3" customWidth="1"/>
    <col min="4" max="4" width="10" customWidth="1"/>
    <col min="5" max="5" width="12" customWidth="1"/>
    <col min="6" max="6" width="16" customWidth="1"/>
    <col min="7" max="7" width="18" customWidth="1"/>
    <col min="8" max="8" width="25" customWidth="1"/>
    <col min="9" max="9" width="3" customWidth="1"/>
    <col min="10" max="10" width="28" customWidth="1"/>
    <col min="11" max="11" width="18" customWidth="1"/>
    <col min="12" max="12" width="5" customWidth="1"/>
  </cols>
  <sheetData>
    <row r="1" spans="1:12" ht="24" customHeight="1">
      <c r="A1" s="31" t="s">
        <v>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 ht="15">
      <c r="A3" s="32" t="s">
        <v>58</v>
      </c>
      <c r="B3" s="32"/>
      <c r="C3" s="32"/>
      <c r="D3" s="32" t="s">
        <v>59</v>
      </c>
      <c r="E3" s="32"/>
      <c r="F3" s="32"/>
      <c r="G3" s="1"/>
      <c r="H3" s="1"/>
      <c r="J3" s="32" t="s">
        <v>60</v>
      </c>
      <c r="K3" s="32"/>
      <c r="L3" s="32"/>
    </row>
    <row r="4" spans="1:12" ht="15">
      <c r="A4" s="14" t="s">
        <v>61</v>
      </c>
      <c r="B4" s="3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J4" s="2" t="s">
        <v>4</v>
      </c>
      <c r="K4" s="2" t="s">
        <v>68</v>
      </c>
    </row>
    <row r="5" spans="1:12" ht="15">
      <c r="A5" s="14" t="s">
        <v>7</v>
      </c>
      <c r="B5" s="5">
        <v>96.3</v>
      </c>
      <c r="D5" s="21">
        <v>-200</v>
      </c>
      <c r="E5" s="4" t="str">
        <f t="shared" ref="E5:E21" si="0">IF(D5&lt;0,"Cut",IF(D5&gt;0,"Hike","No Change"))</f>
        <v>Cut</v>
      </c>
      <c r="F5" s="22">
        <f t="shared" ref="F5:F21" si="1">IF(D5=$B$21,1-$B$20,IF(D5=$B$22,$B$20,0))</f>
        <v>0</v>
      </c>
      <c r="G5" s="8">
        <f t="shared" ref="G5:G21" si="2">$B$8+D5/100</f>
        <v>1.625</v>
      </c>
      <c r="H5" s="23" t="str">
        <f t="shared" ref="H5:H21" si="3">IF(F5&gt;0,"Model-implied probability","")</f>
        <v/>
      </c>
      <c r="J5" s="14" t="s">
        <v>69</v>
      </c>
      <c r="K5" t="str">
        <f>IF(B17&gt;0,"Hike",IF(B17&lt;0,"Cut","No Change"))</f>
        <v>Hike</v>
      </c>
    </row>
    <row r="6" spans="1:12" ht="15">
      <c r="A6" s="14" t="s">
        <v>9</v>
      </c>
      <c r="B6" s="16">
        <f>100-B5</f>
        <v>3.7000000000000028</v>
      </c>
      <c r="D6" s="21">
        <v>-175</v>
      </c>
      <c r="E6" s="4" t="str">
        <f t="shared" si="0"/>
        <v>Cut</v>
      </c>
      <c r="F6" s="22">
        <f t="shared" si="1"/>
        <v>0</v>
      </c>
      <c r="G6" s="8">
        <f t="shared" si="2"/>
        <v>1.875</v>
      </c>
      <c r="H6" s="23" t="str">
        <f t="shared" si="3"/>
        <v/>
      </c>
      <c r="J6" s="14" t="s">
        <v>70</v>
      </c>
      <c r="K6" s="20">
        <f>F13</f>
        <v>0.39999999999997549</v>
      </c>
    </row>
    <row r="7" spans="1:12" ht="15">
      <c r="A7" s="14" t="s">
        <v>71</v>
      </c>
      <c r="B7" s="5">
        <v>3.63</v>
      </c>
      <c r="D7" s="21">
        <v>-150</v>
      </c>
      <c r="E7" s="4" t="str">
        <f t="shared" si="0"/>
        <v>Cut</v>
      </c>
      <c r="F7" s="22">
        <f t="shared" si="1"/>
        <v>0</v>
      </c>
      <c r="G7" s="8">
        <f t="shared" si="2"/>
        <v>2.125</v>
      </c>
      <c r="H7" s="23" t="str">
        <f t="shared" si="3"/>
        <v/>
      </c>
      <c r="J7" s="14" t="s">
        <v>72</v>
      </c>
      <c r="K7" s="20">
        <f>F14</f>
        <v>0.60000000000002451</v>
      </c>
    </row>
    <row r="8" spans="1:12" ht="15">
      <c r="A8" s="14" t="s">
        <v>73</v>
      </c>
      <c r="B8" s="5">
        <v>3.625</v>
      </c>
      <c r="D8" s="21">
        <v>-125</v>
      </c>
      <c r="E8" s="4" t="str">
        <f t="shared" si="0"/>
        <v>Cut</v>
      </c>
      <c r="F8" s="22">
        <f t="shared" si="1"/>
        <v>0</v>
      </c>
      <c r="G8" s="8">
        <f t="shared" si="2"/>
        <v>2.375</v>
      </c>
      <c r="H8" s="23" t="str">
        <f t="shared" si="3"/>
        <v/>
      </c>
      <c r="J8" s="14" t="s">
        <v>74</v>
      </c>
      <c r="K8" s="20">
        <f>F12</f>
        <v>0</v>
      </c>
    </row>
    <row r="9" spans="1:12" ht="15">
      <c r="A9" s="14" t="s">
        <v>75</v>
      </c>
      <c r="B9" s="5">
        <v>46282</v>
      </c>
      <c r="D9" s="21">
        <v>-100</v>
      </c>
      <c r="E9" s="4" t="str">
        <f t="shared" si="0"/>
        <v>Cut</v>
      </c>
      <c r="F9" s="22">
        <f t="shared" si="1"/>
        <v>0</v>
      </c>
      <c r="G9" s="8">
        <f t="shared" si="2"/>
        <v>2.625</v>
      </c>
      <c r="H9" s="23" t="str">
        <f t="shared" si="3"/>
        <v/>
      </c>
      <c r="J9" s="14" t="s">
        <v>76</v>
      </c>
      <c r="K9" s="12">
        <f>B17</f>
        <v>15.000000000000613</v>
      </c>
    </row>
    <row r="10" spans="1:12" ht="15">
      <c r="A10" s="14" t="s">
        <v>77</v>
      </c>
      <c r="B10" s="17">
        <v>30</v>
      </c>
      <c r="D10" s="21">
        <v>-75</v>
      </c>
      <c r="E10" s="4" t="str">
        <f t="shared" si="0"/>
        <v>Cut</v>
      </c>
      <c r="F10" s="22">
        <f t="shared" si="1"/>
        <v>0</v>
      </c>
      <c r="G10" s="8">
        <f t="shared" si="2"/>
        <v>2.875</v>
      </c>
      <c r="H10" s="23" t="str">
        <f t="shared" si="3"/>
        <v/>
      </c>
      <c r="J10" s="2" t="s">
        <v>78</v>
      </c>
      <c r="K10" s="12">
        <f>B16</f>
        <v>3.780000000000006</v>
      </c>
    </row>
    <row r="11" spans="1:12" ht="15">
      <c r="A11" s="14" t="s">
        <v>79</v>
      </c>
      <c r="B11" s="18">
        <v>16</v>
      </c>
      <c r="D11" s="21">
        <v>-50</v>
      </c>
      <c r="E11" s="4" t="str">
        <f t="shared" si="0"/>
        <v>Cut</v>
      </c>
      <c r="F11" s="22">
        <f t="shared" si="1"/>
        <v>0</v>
      </c>
      <c r="G11" s="8">
        <f t="shared" si="2"/>
        <v>3.125</v>
      </c>
      <c r="H11" s="23" t="str">
        <f t="shared" si="3"/>
        <v/>
      </c>
    </row>
    <row r="12" spans="1:12" ht="15">
      <c r="A12" s="14" t="s">
        <v>80</v>
      </c>
      <c r="B12" s="18">
        <v>14</v>
      </c>
      <c r="D12" s="21">
        <v>-25</v>
      </c>
      <c r="E12" s="4" t="str">
        <f t="shared" si="0"/>
        <v>Cut</v>
      </c>
      <c r="F12" s="22">
        <f t="shared" si="1"/>
        <v>0</v>
      </c>
      <c r="G12" s="8">
        <f t="shared" si="2"/>
        <v>3.375</v>
      </c>
      <c r="H12" s="23" t="str">
        <f t="shared" si="3"/>
        <v/>
      </c>
    </row>
    <row r="13" spans="1:12" ht="15">
      <c r="A13" s="14" t="s">
        <v>81</v>
      </c>
      <c r="B13" s="19">
        <v>0.25</v>
      </c>
      <c r="D13" s="21">
        <v>0</v>
      </c>
      <c r="E13" s="4" t="str">
        <f t="shared" si="0"/>
        <v>No Change</v>
      </c>
      <c r="F13" s="22">
        <f t="shared" si="1"/>
        <v>0.39999999999997549</v>
      </c>
      <c r="G13" s="8">
        <f t="shared" si="2"/>
        <v>3.625</v>
      </c>
      <c r="H13" s="23" t="str">
        <f t="shared" si="3"/>
        <v>Model-implied probability</v>
      </c>
    </row>
    <row r="14" spans="1:12" ht="15">
      <c r="A14" s="2" t="s">
        <v>82</v>
      </c>
      <c r="B14" s="3" t="s">
        <v>83</v>
      </c>
      <c r="D14" s="21">
        <v>25</v>
      </c>
      <c r="E14" s="4" t="str">
        <f t="shared" si="0"/>
        <v>Hike</v>
      </c>
      <c r="F14" s="22">
        <f t="shared" si="1"/>
        <v>0.60000000000002451</v>
      </c>
      <c r="G14" s="8">
        <f t="shared" si="2"/>
        <v>3.875</v>
      </c>
      <c r="H14" s="23" t="str">
        <f t="shared" si="3"/>
        <v>Model-implied probability</v>
      </c>
    </row>
    <row r="15" spans="1:12">
      <c r="D15" s="21">
        <v>50</v>
      </c>
      <c r="E15" s="4" t="str">
        <f t="shared" si="0"/>
        <v>Hike</v>
      </c>
      <c r="F15" s="22">
        <f t="shared" si="1"/>
        <v>0</v>
      </c>
      <c r="G15" s="8">
        <f t="shared" si="2"/>
        <v>4.125</v>
      </c>
      <c r="H15" s="23" t="str">
        <f t="shared" si="3"/>
        <v/>
      </c>
    </row>
    <row r="16" spans="1:12" ht="15">
      <c r="A16" s="14" t="s">
        <v>84</v>
      </c>
      <c r="B16" s="8">
        <f>(B6*B10-B7*B11)/B12</f>
        <v>3.780000000000006</v>
      </c>
      <c r="D16" s="21">
        <v>75</v>
      </c>
      <c r="E16" s="4" t="str">
        <f t="shared" si="0"/>
        <v>Hike</v>
      </c>
      <c r="F16" s="22">
        <f t="shared" si="1"/>
        <v>0</v>
      </c>
      <c r="G16" s="8">
        <f t="shared" si="2"/>
        <v>4.375</v>
      </c>
      <c r="H16" s="23" t="str">
        <f t="shared" si="3"/>
        <v/>
      </c>
    </row>
    <row r="17" spans="1:12" ht="15">
      <c r="A17" s="14" t="s">
        <v>11</v>
      </c>
      <c r="B17" s="8">
        <f>(B16-B7)*100</f>
        <v>15.000000000000613</v>
      </c>
      <c r="D17" s="21">
        <v>100</v>
      </c>
      <c r="E17" s="4" t="str">
        <f t="shared" si="0"/>
        <v>Hike</v>
      </c>
      <c r="F17" s="22">
        <f t="shared" si="1"/>
        <v>0</v>
      </c>
      <c r="G17" s="8">
        <f t="shared" si="2"/>
        <v>4.625</v>
      </c>
      <c r="H17" s="23" t="str">
        <f t="shared" si="3"/>
        <v/>
      </c>
    </row>
    <row r="18" spans="1:12" ht="15">
      <c r="A18" s="14" t="s">
        <v>85</v>
      </c>
      <c r="B18" s="8">
        <f>ABS(B17)/(B13*100)</f>
        <v>0.60000000000002451</v>
      </c>
      <c r="D18" s="21">
        <v>125</v>
      </c>
      <c r="E18" s="4" t="str">
        <f t="shared" si="0"/>
        <v>Hike</v>
      </c>
      <c r="F18" s="22">
        <f t="shared" si="1"/>
        <v>0</v>
      </c>
      <c r="G18" s="8">
        <f t="shared" si="2"/>
        <v>4.875</v>
      </c>
      <c r="H18" s="23" t="str">
        <f t="shared" si="3"/>
        <v/>
      </c>
    </row>
    <row r="19" spans="1:12" ht="15">
      <c r="A19" s="14" t="s">
        <v>86</v>
      </c>
      <c r="B19" s="8">
        <f>INT(B18)*25</f>
        <v>0</v>
      </c>
      <c r="D19" s="21">
        <v>150</v>
      </c>
      <c r="E19" s="4" t="str">
        <f t="shared" si="0"/>
        <v>Hike</v>
      </c>
      <c r="F19" s="22">
        <f t="shared" si="1"/>
        <v>0</v>
      </c>
      <c r="G19" s="8">
        <f t="shared" si="2"/>
        <v>5.125</v>
      </c>
      <c r="H19" s="23" t="str">
        <f t="shared" si="3"/>
        <v/>
      </c>
    </row>
    <row r="20" spans="1:12" ht="15">
      <c r="A20" s="2" t="s">
        <v>87</v>
      </c>
      <c r="B20" s="8">
        <f>B18-INT(B18)</f>
        <v>0.60000000000002451</v>
      </c>
      <c r="D20" s="21">
        <v>175</v>
      </c>
      <c r="E20" s="4" t="str">
        <f t="shared" si="0"/>
        <v>Hike</v>
      </c>
      <c r="F20" s="22">
        <f t="shared" si="1"/>
        <v>0</v>
      </c>
      <c r="G20" s="8">
        <f t="shared" si="2"/>
        <v>5.375</v>
      </c>
      <c r="H20" s="23" t="str">
        <f t="shared" si="3"/>
        <v/>
      </c>
    </row>
    <row r="21" spans="1:12" ht="15">
      <c r="A21" s="14" t="s">
        <v>88</v>
      </c>
      <c r="B21" s="21">
        <f>IF(B17=0,0,IF(B17&gt;0,INT(B18)*25,-INT(B18)*25))</f>
        <v>0</v>
      </c>
      <c r="D21" s="21">
        <v>200</v>
      </c>
      <c r="E21" s="4" t="str">
        <f t="shared" si="0"/>
        <v>Hike</v>
      </c>
      <c r="F21" s="22">
        <f t="shared" si="1"/>
        <v>0</v>
      </c>
      <c r="G21" s="8">
        <f t="shared" si="2"/>
        <v>5.625</v>
      </c>
      <c r="H21" s="23" t="str">
        <f t="shared" si="3"/>
        <v/>
      </c>
    </row>
    <row r="22" spans="1:12" ht="15">
      <c r="A22" s="2" t="s">
        <v>89</v>
      </c>
      <c r="B22" s="21">
        <f>IF(B17=0,0,IF(B17&gt;0,(INT(B18)+1)*25,-(INT(B18)+1)*25))</f>
        <v>25</v>
      </c>
    </row>
    <row r="24" spans="1:12" ht="21.95" customHeight="1">
      <c r="A24" s="35" t="s">
        <v>90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2" ht="21.9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1:12" ht="21.9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12" ht="21.9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</sheetData>
  <mergeCells count="4">
    <mergeCell ref="A1:L1"/>
    <mergeCell ref="A3:F3"/>
    <mergeCell ref="J3:L3"/>
    <mergeCell ref="A24:L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C2F7-ACD2-483B-8168-0D269ED96633}">
  <dimension ref="C3:G32"/>
  <sheetViews>
    <sheetView workbookViewId="0">
      <selection activeCell="F33" sqref="F33"/>
    </sheetView>
  </sheetViews>
  <sheetFormatPr defaultRowHeight="14.25"/>
  <cols>
    <col min="3" max="3" width="24.125" customWidth="1"/>
    <col min="4" max="4" width="11.625" bestFit="1" customWidth="1"/>
    <col min="5" max="5" width="11.5" bestFit="1" customWidth="1"/>
    <col min="6" max="6" width="24.875" bestFit="1" customWidth="1"/>
  </cols>
  <sheetData>
    <row r="3" spans="3:6">
      <c r="C3" t="s">
        <v>124</v>
      </c>
    </row>
    <row r="5" spans="3:6">
      <c r="C5" t="s">
        <v>125</v>
      </c>
      <c r="D5">
        <v>96.273750000000007</v>
      </c>
    </row>
    <row r="7" spans="3:6">
      <c r="C7">
        <f>100-D5</f>
        <v>3.7262499999999932</v>
      </c>
    </row>
    <row r="9" spans="3:6">
      <c r="C9" t="s">
        <v>126</v>
      </c>
    </row>
    <row r="12" spans="3:6">
      <c r="C12" t="s">
        <v>127</v>
      </c>
      <c r="D12" s="36">
        <v>3.6249999999999998E-2</v>
      </c>
    </row>
    <row r="13" spans="3:6">
      <c r="D13" s="37"/>
    </row>
    <row r="14" spans="3:6">
      <c r="C14" t="s">
        <v>128</v>
      </c>
      <c r="D14" s="37">
        <v>3.5000000000000003E-2</v>
      </c>
    </row>
    <row r="15" spans="3:6">
      <c r="C15" t="s">
        <v>129</v>
      </c>
      <c r="D15" s="37">
        <v>3.7499999999999999E-2</v>
      </c>
    </row>
    <row r="16" spans="3:6">
      <c r="C16" t="s">
        <v>130</v>
      </c>
      <c r="D16" s="36">
        <f>(D15+D14)/2</f>
        <v>3.6250000000000004E-2</v>
      </c>
      <c r="F16">
        <f>D16*100</f>
        <v>3.6250000000000004</v>
      </c>
    </row>
    <row r="17" spans="4:7">
      <c r="D17" s="36"/>
    </row>
    <row r="18" spans="4:7">
      <c r="D18" s="36"/>
    </row>
    <row r="20" spans="4:7">
      <c r="D20" s="37">
        <f>(C7/100)-D12</f>
        <v>1.0124999999999371E-3</v>
      </c>
    </row>
    <row r="22" spans="4:7">
      <c r="F22">
        <f>100-F16</f>
        <v>96.375</v>
      </c>
    </row>
    <row r="26" spans="4:7">
      <c r="D26" t="s">
        <v>131</v>
      </c>
      <c r="E26" t="s">
        <v>132</v>
      </c>
      <c r="F26" t="s">
        <v>130</v>
      </c>
      <c r="G26" t="s">
        <v>133</v>
      </c>
    </row>
    <row r="32" spans="4:7">
      <c r="D32" s="36">
        <f>$D$14</f>
        <v>3.5000000000000003E-2</v>
      </c>
      <c r="E32" s="36">
        <f>$D$15</f>
        <v>3.7499999999999999E-2</v>
      </c>
      <c r="F32" s="38">
        <f>(E32+D32)/2</f>
        <v>3.6250000000000004E-2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sqref="A1:F1"/>
    </sheetView>
  </sheetViews>
  <sheetFormatPr defaultRowHeight="14.25"/>
  <cols>
    <col min="1" max="1" width="26" customWidth="1"/>
    <col min="2" max="2" width="28" customWidth="1"/>
    <col min="3" max="3" width="58" customWidth="1"/>
    <col min="4" max="4" width="38" customWidth="1"/>
    <col min="5" max="5" width="16" customWidth="1"/>
    <col min="6" max="6" width="45" customWidth="1"/>
  </cols>
  <sheetData>
    <row r="1" spans="1:6" ht="18">
      <c r="A1" s="31" t="s">
        <v>91</v>
      </c>
      <c r="B1" s="31"/>
      <c r="C1" s="31"/>
      <c r="D1" s="31"/>
      <c r="E1" s="31"/>
      <c r="F1" s="31"/>
    </row>
    <row r="3" spans="1:6" ht="15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67</v>
      </c>
    </row>
    <row r="4" spans="1:6" ht="28.5">
      <c r="A4" s="29" t="s">
        <v>97</v>
      </c>
      <c r="B4" s="29" t="s">
        <v>98</v>
      </c>
      <c r="C4" s="29" t="s">
        <v>99</v>
      </c>
      <c r="D4" s="29" t="s">
        <v>100</v>
      </c>
      <c r="E4" s="29" t="s">
        <v>101</v>
      </c>
      <c r="F4" s="29" t="s">
        <v>102</v>
      </c>
    </row>
    <row r="5" spans="1:6" ht="42.75">
      <c r="A5" s="29" t="s">
        <v>103</v>
      </c>
      <c r="B5" s="29" t="s">
        <v>104</v>
      </c>
      <c r="C5" s="29" t="s">
        <v>105</v>
      </c>
      <c r="D5" s="29" t="s">
        <v>106</v>
      </c>
      <c r="E5" s="29" t="s">
        <v>101</v>
      </c>
      <c r="F5" s="29" t="s">
        <v>107</v>
      </c>
    </row>
    <row r="6" spans="1:6" ht="28.5">
      <c r="A6" s="29" t="s">
        <v>108</v>
      </c>
      <c r="B6" s="29" t="s">
        <v>104</v>
      </c>
      <c r="C6" s="29" t="s">
        <v>109</v>
      </c>
      <c r="D6" s="29" t="s">
        <v>110</v>
      </c>
      <c r="E6" s="29" t="s">
        <v>101</v>
      </c>
      <c r="F6" s="29" t="s">
        <v>111</v>
      </c>
    </row>
    <row r="7" spans="1:6" ht="28.5">
      <c r="A7" s="29" t="s">
        <v>112</v>
      </c>
      <c r="B7" s="29" t="s">
        <v>113</v>
      </c>
      <c r="C7" s="29" t="s">
        <v>114</v>
      </c>
      <c r="D7" s="29" t="s">
        <v>115</v>
      </c>
      <c r="E7" s="29" t="s">
        <v>101</v>
      </c>
      <c r="F7" s="29" t="s">
        <v>116</v>
      </c>
    </row>
    <row r="8" spans="1:6" ht="42.75">
      <c r="A8" s="29" t="s">
        <v>117</v>
      </c>
      <c r="B8" s="29" t="s">
        <v>118</v>
      </c>
      <c r="C8" s="29" t="s">
        <v>119</v>
      </c>
      <c r="D8" s="29" t="s">
        <v>120</v>
      </c>
      <c r="E8" s="29" t="s">
        <v>101</v>
      </c>
      <c r="F8" s="29" t="s">
        <v>121</v>
      </c>
    </row>
    <row r="10" spans="1:6">
      <c r="A10" s="35" t="s">
        <v>122</v>
      </c>
      <c r="B10" s="35"/>
      <c r="C10" s="35"/>
      <c r="D10" s="35"/>
      <c r="E10" s="35"/>
      <c r="F10" s="35"/>
    </row>
    <row r="11" spans="1:6">
      <c r="A11" s="35"/>
      <c r="B11" s="35"/>
      <c r="C11" s="35"/>
      <c r="D11" s="35"/>
      <c r="E11" s="35"/>
      <c r="F11" s="35"/>
    </row>
    <row r="12" spans="1:6">
      <c r="A12" s="35"/>
      <c r="B12" s="35"/>
      <c r="C12" s="35"/>
      <c r="D12" s="35"/>
      <c r="E12" s="35"/>
      <c r="F12" s="35"/>
    </row>
    <row r="13" spans="1:6">
      <c r="A13" s="35"/>
      <c r="B13" s="35"/>
      <c r="C13" s="35"/>
      <c r="D13" s="35"/>
      <c r="E13" s="35"/>
      <c r="F13" s="35"/>
    </row>
    <row r="14" spans="1:6">
      <c r="A14" s="35"/>
      <c r="B14" s="35"/>
      <c r="C14" s="35"/>
      <c r="D14" s="35"/>
      <c r="E14" s="35"/>
      <c r="F14" s="35"/>
    </row>
  </sheetData>
  <mergeCells count="2">
    <mergeCell ref="A1:F1"/>
    <mergeCell ref="A10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Model</vt:lpstr>
      <vt:lpstr>Dashboard</vt:lpstr>
      <vt:lpstr>Probability</vt:lpstr>
      <vt:lpstr>Sheet1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Jennings</cp:lastModifiedBy>
  <dcterms:created xsi:type="dcterms:W3CDTF">2026-09-14T20:18:03Z</dcterms:created>
  <dcterms:modified xsi:type="dcterms:W3CDTF">2026-09-15T14:47:55Z</dcterms:modified>
</cp:coreProperties>
</file>
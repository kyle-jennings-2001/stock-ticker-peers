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tllc-my.sharepoint.com/personal/kjennings_genevatrading_com/Documents/My Files/Reference/"/>
    </mc:Choice>
  </mc:AlternateContent>
  <xr:revisionPtr revIDLastSave="238" documentId="8_{45B9FB94-C0B3-4082-B600-5C524FEBD314}" xr6:coauthVersionLast="47" xr6:coauthVersionMax="47" xr10:uidLastSave="{50829AD0-B157-4C90-B72D-BD19759B8A67}"/>
  <bookViews>
    <workbookView xWindow="-33060" yWindow="2130" windowWidth="31380" windowHeight="15405" activeTab="3" xr2:uid="{3F143A51-E46F-4565-8CDC-263F64178543}"/>
  </bookViews>
  <sheets>
    <sheet name="Fair Value" sheetId="1" r:id="rId1"/>
    <sheet name="Physical Settlement Cmdty" sheetId="3" r:id="rId2"/>
    <sheet name="Sheet1" sheetId="4" r:id="rId3"/>
    <sheet name="MNQ" sheetId="5" r:id="rId4"/>
    <sheet name="Sheet2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4" i="5" l="1"/>
  <c r="C19" i="5" a="1"/>
  <c r="C19" i="5" s="1"/>
  <c r="C21" i="5" s="1"/>
  <c r="C16" i="5" a="1"/>
  <c r="C16" i="5" s="1"/>
  <c r="C17" i="5"/>
  <c r="C13" i="5"/>
  <c r="C15" i="5" s="1"/>
  <c r="C29" i="4"/>
  <c r="C23" i="4"/>
  <c r="C16" i="4"/>
  <c r="C13" i="4"/>
  <c r="C26" i="4" s="1"/>
  <c r="C27" i="4" s="1"/>
  <c r="C10" i="4"/>
  <c r="C12" i="4" s="1"/>
  <c r="D12" i="3"/>
  <c r="E3" i="3"/>
  <c r="D10" i="1"/>
  <c r="E3" i="1"/>
  <c r="C22" i="5" l="1"/>
  <c r="C18" i="5"/>
  <c r="C14" i="5"/>
  <c r="C28" i="4"/>
  <c r="C17" i="4"/>
  <c r="C11" i="4"/>
  <c r="C23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<sst xmlns="http://schemas.openxmlformats.org/spreadsheetml/2006/main" count="93" uniqueCount="55">
  <si>
    <t>Variable</t>
  </si>
  <si>
    <t>Description</t>
  </si>
  <si>
    <t>F</t>
  </si>
  <si>
    <t>Futures Price</t>
  </si>
  <si>
    <t>S</t>
  </si>
  <si>
    <t>Spot (cash) price</t>
  </si>
  <si>
    <t>r</t>
  </si>
  <si>
    <t>q</t>
  </si>
  <si>
    <t>Dividend yield of index (Bloomberg)</t>
  </si>
  <si>
    <t>t</t>
  </si>
  <si>
    <t>Time until contract expires (days)</t>
  </si>
  <si>
    <t>e</t>
  </si>
  <si>
    <t>Euler's number</t>
  </si>
  <si>
    <t>Cost of Carry</t>
  </si>
  <si>
    <t>Backwardation</t>
  </si>
  <si>
    <t>Convenience Yield</t>
  </si>
  <si>
    <t>Cost of carry</t>
  </si>
  <si>
    <t>Contango</t>
  </si>
  <si>
    <t>Futures price &lt; Spot price</t>
  </si>
  <si>
    <t>Futures price &gt; Spot price</t>
  </si>
  <si>
    <t>Risk-free interest rate (SOFR)</t>
  </si>
  <si>
    <t>Storage cost</t>
  </si>
  <si>
    <t>u</t>
  </si>
  <si>
    <t>y</t>
  </si>
  <si>
    <t>Storage cost rate (annualized percentage cost to store, insure, and transport the physcial commodity)</t>
  </si>
  <si>
    <t>Convenience yield (non-monetary benefit or implied premium of holding physcial invenotry on hand versus holding a paper contract)</t>
  </si>
  <si>
    <t>Contracts</t>
  </si>
  <si>
    <t>Side</t>
  </si>
  <si>
    <t>Symbol</t>
  </si>
  <si>
    <t>Entry Price</t>
  </si>
  <si>
    <t>Tick size</t>
  </si>
  <si>
    <t>Exit/Settle Price</t>
  </si>
  <si>
    <t>Multiplier Unit</t>
  </si>
  <si>
    <t>MNQ</t>
  </si>
  <si>
    <t>Tick fluctuation value, per contract</t>
  </si>
  <si>
    <t>Tick fluctuation value, total position</t>
  </si>
  <si>
    <t>Dollar fluctuation value, total position</t>
  </si>
  <si>
    <t>Notional value, entry</t>
  </si>
  <si>
    <t>Notional value, exit</t>
  </si>
  <si>
    <t>Interest expense</t>
  </si>
  <si>
    <t>Commissions</t>
  </si>
  <si>
    <t>Fees</t>
  </si>
  <si>
    <t>Interest rate</t>
  </si>
  <si>
    <t>Maintenance margin requirement (per contract)</t>
  </si>
  <si>
    <t>Total maintenance requirement</t>
  </si>
  <si>
    <t>Maintenance requirement (% of intial position)</t>
  </si>
  <si>
    <t>long</t>
  </si>
  <si>
    <t>Sell</t>
  </si>
  <si>
    <t>Gross unleveraged return</t>
  </si>
  <si>
    <t>Days held</t>
  </si>
  <si>
    <t>Gross profit</t>
  </si>
  <si>
    <t>Gross Leveraged return</t>
  </si>
  <si>
    <t>=(C18*(C21/365))</t>
  </si>
  <si>
    <t>Spot return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</si>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</sst>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%"/>
    <numFmt numFmtId="165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43" fontId="0" fillId="0" borderId="0" xfId="1" applyFont="1"/>
    <xf numFmtId="10" fontId="0" fillId="0" borderId="0" xfId="0" applyNumberFormat="1"/>
    <xf numFmtId="43" fontId="0" fillId="0" borderId="0" xfId="0" applyNumberFormat="1"/>
    <xf numFmtId="164" fontId="0" fillId="0" borderId="0" xfId="2" applyNumberFormat="1" applyFont="1"/>
    <xf numFmtId="164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0" fontId="0" fillId="0" borderId="0" xfId="0" applyAlignment="1">
      <alignment wrapText="1"/>
    </xf>
    <xf numFmtId="10" fontId="0" fillId="0" borderId="0" xfId="2" applyNumberFormat="1" applyFont="1"/>
    <xf numFmtId="0" fontId="2" fillId="0" borderId="0" xfId="0" applyFont="1"/>
    <xf numFmtId="10" fontId="2" fillId="0" borderId="0" xfId="2" applyNumberFormat="1" applyFont="1"/>
    <xf numFmtId="0" fontId="2" fillId="0" borderId="0" xfId="0" quotePrefix="1" applyFont="1"/>
    <xf numFmtId="0" fontId="3" fillId="0" borderId="0" xfId="0" applyFont="1"/>
    <xf numFmtId="0" fontId="4" fillId="0" borderId="0" xfId="0" applyFont="1"/>
    <xf numFmtId="165" fontId="4" fillId="0" borderId="0" xfId="1" applyNumberFormat="1" applyFont="1"/>
    <xf numFmtId="0" fontId="4" fillId="0" borderId="0" xfId="0" applyFont="1" applyAlignment="1">
      <alignment horizontal="right"/>
    </xf>
    <xf numFmtId="165" fontId="4" fillId="0" borderId="0" xfId="1" applyNumberFormat="1" applyFont="1" applyAlignment="1">
      <alignment horizontal="right"/>
    </xf>
    <xf numFmtId="0" fontId="3" fillId="0" borderId="0" xfId="0" applyFont="1" applyAlignment="1">
      <alignment wrapText="1"/>
    </xf>
    <xf numFmtId="165" fontId="3" fillId="0" borderId="0" xfId="0" applyNumberFormat="1" applyFont="1"/>
    <xf numFmtId="0" fontId="0" fillId="0" borderId="0" xfId="0" quotePrefix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66580-EF89-4EB2-B257-00369B9D6AC5}">
  <dimension ref="B2:E10"/>
  <sheetViews>
    <sheetView workbookViewId="0">
      <selection activeCell="H4" sqref="H4"/>
    </sheetView>
  </sheetViews>
  <sheetFormatPr defaultRowHeight="15" x14ac:dyDescent="0.25"/>
  <cols>
    <col min="2" max="2" width="8.42578125" bestFit="1" customWidth="1"/>
    <col min="3" max="3" width="32.7109375" bestFit="1" customWidth="1"/>
    <col min="4" max="4" width="9.5703125" bestFit="1" customWidth="1"/>
    <col min="5" max="5" width="11.7109375" customWidth="1"/>
    <col min="6" max="6" width="12" bestFit="1" customWidth="1"/>
  </cols>
  <sheetData>
    <row r="2" spans="2:5" x14ac:dyDescent="0.25">
      <c r="B2" t="s">
        <v>0</v>
      </c>
      <c r="C2" t="s">
        <v>1</v>
      </c>
    </row>
    <row r="3" spans="2:5" x14ac:dyDescent="0.25">
      <c r="B3" t="s">
        <v>2</v>
      </c>
      <c r="C3" t="s">
        <v>3</v>
      </c>
      <c r="E3" s="3">
        <f>D4*EXP((D5-D6)*(D7/365))</f>
        <v>7431.1025518469305</v>
      </c>
    </row>
    <row r="4" spans="2:5" x14ac:dyDescent="0.25">
      <c r="B4" t="s">
        <v>4</v>
      </c>
      <c r="C4" t="s">
        <v>5</v>
      </c>
      <c r="D4" s="1">
        <v>7402.2</v>
      </c>
    </row>
    <row r="5" spans="2:5" x14ac:dyDescent="0.25">
      <c r="B5" t="s">
        <v>6</v>
      </c>
      <c r="C5" t="s">
        <v>20</v>
      </c>
      <c r="D5" s="4">
        <v>3.6200000000000003E-2</v>
      </c>
    </row>
    <row r="6" spans="2:5" x14ac:dyDescent="0.25">
      <c r="B6" t="s">
        <v>7</v>
      </c>
      <c r="C6" t="s">
        <v>8</v>
      </c>
      <c r="D6" s="5">
        <v>1.0800000000000001E-2</v>
      </c>
    </row>
    <row r="7" spans="2:5" x14ac:dyDescent="0.25">
      <c r="B7" t="s">
        <v>9</v>
      </c>
      <c r="C7" t="s">
        <v>10</v>
      </c>
      <c r="D7">
        <v>56</v>
      </c>
    </row>
    <row r="8" spans="2:5" x14ac:dyDescent="0.25">
      <c r="B8" t="s">
        <v>11</v>
      </c>
      <c r="C8" t="s">
        <v>12</v>
      </c>
      <c r="D8">
        <v>2.71828</v>
      </c>
    </row>
    <row r="10" spans="2:5" x14ac:dyDescent="0.25">
      <c r="C10" t="s">
        <v>13</v>
      </c>
      <c r="D10" s="2">
        <f>D5-D6</f>
        <v>2.5400000000000002E-2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0D9DE-C1A6-4226-8A1C-34BCE1AE6D5D}">
  <dimension ref="B2:E12"/>
  <sheetViews>
    <sheetView workbookViewId="0">
      <selection activeCell="C10" sqref="C10"/>
    </sheetView>
  </sheetViews>
  <sheetFormatPr defaultRowHeight="15" x14ac:dyDescent="0.25"/>
  <cols>
    <col min="2" max="2" width="8.42578125" bestFit="1" customWidth="1"/>
    <col min="3" max="3" width="32.7109375" bestFit="1" customWidth="1"/>
    <col min="4" max="4" width="9.5703125" bestFit="1" customWidth="1"/>
    <col min="5" max="5" width="11.7109375" customWidth="1"/>
    <col min="6" max="6" width="12" bestFit="1" customWidth="1"/>
  </cols>
  <sheetData>
    <row r="2" spans="2:5" x14ac:dyDescent="0.25">
      <c r="B2" t="s">
        <v>0</v>
      </c>
      <c r="C2" t="s">
        <v>1</v>
      </c>
    </row>
    <row r="3" spans="2:5" x14ac:dyDescent="0.25">
      <c r="B3" t="s">
        <v>2</v>
      </c>
      <c r="C3" t="s">
        <v>3</v>
      </c>
      <c r="E3" s="3">
        <f>D4*EXP((D5-D6)*(D7/365))</f>
        <v>7431.1025518469305</v>
      </c>
    </row>
    <row r="4" spans="2:5" x14ac:dyDescent="0.25">
      <c r="B4" t="s">
        <v>4</v>
      </c>
      <c r="C4" t="s">
        <v>5</v>
      </c>
      <c r="D4" s="1">
        <v>7402.2</v>
      </c>
    </row>
    <row r="5" spans="2:5" x14ac:dyDescent="0.25">
      <c r="B5" t="s">
        <v>6</v>
      </c>
      <c r="C5" t="s">
        <v>20</v>
      </c>
      <c r="D5" s="4">
        <v>3.6200000000000003E-2</v>
      </c>
    </row>
    <row r="6" spans="2:5" x14ac:dyDescent="0.25">
      <c r="B6" t="s">
        <v>7</v>
      </c>
      <c r="C6" t="s">
        <v>8</v>
      </c>
      <c r="D6" s="5">
        <v>1.0800000000000001E-2</v>
      </c>
    </row>
    <row r="7" spans="2:5" x14ac:dyDescent="0.25">
      <c r="B7" t="s">
        <v>9</v>
      </c>
      <c r="C7" t="s">
        <v>10</v>
      </c>
      <c r="D7">
        <v>56</v>
      </c>
    </row>
    <row r="8" spans="2:5" x14ac:dyDescent="0.25">
      <c r="B8" t="s">
        <v>11</v>
      </c>
      <c r="C8" t="s">
        <v>12</v>
      </c>
      <c r="D8">
        <v>2.71828</v>
      </c>
    </row>
    <row r="9" spans="2:5" x14ac:dyDescent="0.25">
      <c r="B9" t="s">
        <v>22</v>
      </c>
      <c r="C9" t="s">
        <v>24</v>
      </c>
    </row>
    <row r="10" spans="2:5" x14ac:dyDescent="0.25">
      <c r="B10" t="s">
        <v>23</v>
      </c>
      <c r="C10" t="s">
        <v>25</v>
      </c>
    </row>
    <row r="12" spans="2:5" x14ac:dyDescent="0.25">
      <c r="C12" t="s">
        <v>13</v>
      </c>
      <c r="D12" s="2">
        <f>D5-D6</f>
        <v>2.5400000000000002E-2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A358-4618-48DC-803A-A7C935B0C15B}">
  <dimension ref="B2:F34"/>
  <sheetViews>
    <sheetView workbookViewId="0">
      <selection activeCell="C4" sqref="C4"/>
    </sheetView>
  </sheetViews>
  <sheetFormatPr defaultRowHeight="15" x14ac:dyDescent="0.25"/>
  <cols>
    <col min="2" max="2" width="35.140625" bestFit="1" customWidth="1"/>
    <col min="3" max="3" width="10.5703125" bestFit="1" customWidth="1"/>
  </cols>
  <sheetData>
    <row r="2" spans="2:6" x14ac:dyDescent="0.25">
      <c r="B2" t="s">
        <v>28</v>
      </c>
      <c r="C2" t="s">
        <v>33</v>
      </c>
    </row>
    <row r="3" spans="2:6" x14ac:dyDescent="0.25">
      <c r="B3" t="s">
        <v>27</v>
      </c>
      <c r="C3" t="s">
        <v>47</v>
      </c>
    </row>
    <row r="4" spans="2:6" x14ac:dyDescent="0.25">
      <c r="B4" t="s">
        <v>26</v>
      </c>
      <c r="C4">
        <v>1</v>
      </c>
    </row>
    <row r="5" spans="2:6" x14ac:dyDescent="0.25">
      <c r="B5" t="s">
        <v>29</v>
      </c>
      <c r="C5" s="6">
        <v>29000</v>
      </c>
    </row>
    <row r="7" spans="2:6" x14ac:dyDescent="0.25">
      <c r="B7" t="s">
        <v>32</v>
      </c>
      <c r="C7">
        <v>2</v>
      </c>
    </row>
    <row r="8" spans="2:6" x14ac:dyDescent="0.25">
      <c r="B8" t="s">
        <v>30</v>
      </c>
      <c r="C8">
        <v>0.25</v>
      </c>
    </row>
    <row r="10" spans="2:6" x14ac:dyDescent="0.25">
      <c r="B10" t="s">
        <v>34</v>
      </c>
      <c r="C10">
        <f>C8*C7</f>
        <v>0.5</v>
      </c>
    </row>
    <row r="11" spans="2:6" x14ac:dyDescent="0.25">
      <c r="B11" t="s">
        <v>35</v>
      </c>
      <c r="C11">
        <f>C10*C4</f>
        <v>0.5</v>
      </c>
    </row>
    <row r="12" spans="2:6" x14ac:dyDescent="0.25">
      <c r="B12" t="s">
        <v>36</v>
      </c>
      <c r="C12">
        <f>(1/C8)*(C10*C4)</f>
        <v>2</v>
      </c>
    </row>
    <row r="13" spans="2:6" x14ac:dyDescent="0.25">
      <c r="B13" t="s">
        <v>37</v>
      </c>
      <c r="C13" s="7">
        <f>C4*C7*C5</f>
        <v>58000</v>
      </c>
    </row>
    <row r="15" spans="2:6" ht="30" x14ac:dyDescent="0.25">
      <c r="B15" s="8" t="s">
        <v>43</v>
      </c>
      <c r="C15" s="7">
        <v>3690</v>
      </c>
      <c r="E15">
        <v>3846</v>
      </c>
      <c r="F15" t="s">
        <v>46</v>
      </c>
    </row>
    <row r="16" spans="2:6" x14ac:dyDescent="0.25">
      <c r="B16" s="8" t="s">
        <v>44</v>
      </c>
      <c r="C16" s="7">
        <f>C15*C4</f>
        <v>3690</v>
      </c>
    </row>
    <row r="17" spans="2:3" ht="30" x14ac:dyDescent="0.25">
      <c r="B17" s="8" t="s">
        <v>45</v>
      </c>
      <c r="C17" s="9">
        <f>C16/C13</f>
        <v>6.362068965517241E-2</v>
      </c>
    </row>
    <row r="18" spans="2:3" x14ac:dyDescent="0.25">
      <c r="B18" s="10" t="s">
        <v>42</v>
      </c>
      <c r="C18" s="11">
        <v>0.05</v>
      </c>
    </row>
    <row r="21" spans="2:3" x14ac:dyDescent="0.25">
      <c r="B21" t="s">
        <v>49</v>
      </c>
      <c r="C21">
        <v>91</v>
      </c>
    </row>
    <row r="22" spans="2:3" x14ac:dyDescent="0.25">
      <c r="B22" t="s">
        <v>31</v>
      </c>
      <c r="C22" s="6">
        <v>26000</v>
      </c>
    </row>
    <row r="23" spans="2:3" x14ac:dyDescent="0.25">
      <c r="B23" t="s">
        <v>38</v>
      </c>
      <c r="C23" s="7">
        <f>C22*C7*C4</f>
        <v>52000</v>
      </c>
    </row>
    <row r="26" spans="2:3" x14ac:dyDescent="0.25">
      <c r="B26" t="s">
        <v>50</v>
      </c>
      <c r="C26" s="7">
        <f>C13-C23</f>
        <v>6000</v>
      </c>
    </row>
    <row r="27" spans="2:3" x14ac:dyDescent="0.25">
      <c r="B27" t="s">
        <v>48</v>
      </c>
      <c r="C27" s="9">
        <f>C26/C13</f>
        <v>0.10344827586206896</v>
      </c>
    </row>
    <row r="28" spans="2:3" x14ac:dyDescent="0.25">
      <c r="B28" t="s">
        <v>51</v>
      </c>
      <c r="C28" s="9">
        <f>C26/C16</f>
        <v>1.6260162601626016</v>
      </c>
    </row>
    <row r="29" spans="2:3" x14ac:dyDescent="0.25">
      <c r="B29" t="s">
        <v>53</v>
      </c>
      <c r="C29" s="9">
        <f>(C5-C22)/C22</f>
        <v>0.11538461538461539</v>
      </c>
    </row>
    <row r="30" spans="2:3" x14ac:dyDescent="0.25">
      <c r="C30" s="9"/>
    </row>
    <row r="32" spans="2:3" x14ac:dyDescent="0.25">
      <c r="B32" s="10" t="s">
        <v>39</v>
      </c>
      <c r="C32" s="12" t="s">
        <v>52</v>
      </c>
    </row>
    <row r="33" spans="2:3" x14ac:dyDescent="0.25">
      <c r="B33" t="s">
        <v>40</v>
      </c>
      <c r="C33">
        <v>0</v>
      </c>
    </row>
    <row r="34" spans="2:3" x14ac:dyDescent="0.25">
      <c r="B34" t="s">
        <v>41</v>
      </c>
      <c r="C34">
        <v>0</v>
      </c>
    </row>
  </sheetData>
  <dataValidations count="1">
    <dataValidation type="list" showInputMessage="1" showErrorMessage="1" sqref="C3" xr:uid="{369533D6-4DF4-4BAC-B1EA-62A054B514EA}">
      <formula1>"Buy,Sell"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92EA2-9DA8-4DA6-8424-A6BE75D70904}">
  <dimension ref="B2:F25"/>
  <sheetViews>
    <sheetView tabSelected="1" workbookViewId="0">
      <selection activeCell="C4" sqref="C4"/>
    </sheetView>
  </sheetViews>
  <sheetFormatPr defaultRowHeight="15" x14ac:dyDescent="0.25"/>
  <cols>
    <col min="2" max="2" width="35.140625" bestFit="1" customWidth="1"/>
    <col min="3" max="3" width="10.5703125" bestFit="1" customWidth="1"/>
  </cols>
  <sheetData>
    <row r="2" spans="2:6" x14ac:dyDescent="0.25">
      <c r="B2" s="14" t="s">
        <v>28</v>
      </c>
      <c r="C2" s="16" t="s">
        <v>33</v>
      </c>
    </row>
    <row r="3" spans="2:6" x14ac:dyDescent="0.25">
      <c r="B3" s="14" t="s">
        <v>27</v>
      </c>
      <c r="C3" s="16" t="s">
        <v>47</v>
      </c>
    </row>
    <row r="4" spans="2:6" x14ac:dyDescent="0.25">
      <c r="B4" s="14" t="s">
        <v>26</v>
      </c>
      <c r="C4" s="16">
        <v>1</v>
      </c>
    </row>
    <row r="5" spans="2:6" x14ac:dyDescent="0.25">
      <c r="B5" s="14" t="s">
        <v>29</v>
      </c>
      <c r="C5" s="17">
        <v>29000</v>
      </c>
    </row>
    <row r="6" spans="2:6" x14ac:dyDescent="0.25">
      <c r="B6" s="14" t="s">
        <v>31</v>
      </c>
      <c r="C6" s="15">
        <v>26000</v>
      </c>
    </row>
    <row r="7" spans="2:6" x14ac:dyDescent="0.25">
      <c r="B7" s="14" t="s">
        <v>49</v>
      </c>
      <c r="C7" s="14">
        <v>91</v>
      </c>
    </row>
    <row r="9" spans="2:6" x14ac:dyDescent="0.25">
      <c r="B9" s="13" t="s">
        <v>32</v>
      </c>
      <c r="C9" s="13">
        <v>2</v>
      </c>
    </row>
    <row r="10" spans="2:6" x14ac:dyDescent="0.25">
      <c r="B10" s="13" t="s">
        <v>30</v>
      </c>
      <c r="C10" s="13">
        <v>0.25</v>
      </c>
    </row>
    <row r="11" spans="2:6" ht="30" x14ac:dyDescent="0.25">
      <c r="B11" s="18" t="s">
        <v>43</v>
      </c>
      <c r="C11" s="19">
        <v>3690</v>
      </c>
      <c r="E11">
        <v>3846</v>
      </c>
      <c r="F11" t="s">
        <v>46</v>
      </c>
    </row>
    <row r="13" spans="2:6" hidden="1" x14ac:dyDescent="0.25">
      <c r="B13" t="s">
        <v>34</v>
      </c>
      <c r="C13">
        <f>C10*C9</f>
        <v>0.5</v>
      </c>
    </row>
    <row r="14" spans="2:6" hidden="1" x14ac:dyDescent="0.25">
      <c r="B14" t="s">
        <v>35</v>
      </c>
      <c r="C14">
        <f>C13*C4</f>
        <v>0.5</v>
      </c>
    </row>
    <row r="15" spans="2:6" hidden="1" x14ac:dyDescent="0.25">
      <c r="B15" t="s">
        <v>36</v>
      </c>
      <c r="C15">
        <f>(1/C10)*(C13*C4)</f>
        <v>2</v>
      </c>
    </row>
    <row r="16" spans="2:6" x14ac:dyDescent="0.25">
      <c r="B16" t="s">
        <v>37</v>
      </c>
      <c r="C16" s="7" cm="1">
        <f t="array" ref="C16">_xlfn.IFS(C3="Sell",-1,C3="Buy",1)*(C4*C9*C5)</f>
        <v>-58000</v>
      </c>
      <c r="E16" s="20" t="s">
        <v>54</v>
      </c>
    </row>
    <row r="17" spans="2:3" x14ac:dyDescent="0.25">
      <c r="B17" s="8" t="s">
        <v>44</v>
      </c>
      <c r="C17" s="7">
        <f>C11*C4</f>
        <v>3690</v>
      </c>
    </row>
    <row r="18" spans="2:3" ht="30" x14ac:dyDescent="0.25">
      <c r="B18" s="8" t="s">
        <v>45</v>
      </c>
      <c r="C18" s="9">
        <f>C17/ABS(C16)</f>
        <v>6.362068965517241E-2</v>
      </c>
    </row>
    <row r="19" spans="2:3" x14ac:dyDescent="0.25">
      <c r="B19" t="s">
        <v>38</v>
      </c>
      <c r="C19" s="7" cm="1">
        <f t="array" ref="C19">_xlfn.IFS(C3="Sell",-1,C3="Buy",1)*(C6*C9*C4)</f>
        <v>-52000</v>
      </c>
    </row>
    <row r="21" spans="2:3" x14ac:dyDescent="0.25">
      <c r="B21" t="s">
        <v>50</v>
      </c>
      <c r="C21" s="7">
        <f>(C19-C16)</f>
        <v>6000</v>
      </c>
    </row>
    <row r="22" spans="2:3" x14ac:dyDescent="0.25">
      <c r="B22" t="s">
        <v>48</v>
      </c>
      <c r="C22" s="9">
        <f>C21/ABS(C16)</f>
        <v>0.10344827586206896</v>
      </c>
    </row>
    <row r="23" spans="2:3" x14ac:dyDescent="0.25">
      <c r="B23" t="s">
        <v>51</v>
      </c>
      <c r="C23" s="9">
        <f>C21/C17</f>
        <v>1.6260162601626016</v>
      </c>
    </row>
    <row r="24" spans="2:3" x14ac:dyDescent="0.25">
      <c r="B24" t="s">
        <v>53</v>
      </c>
      <c r="C24" s="9">
        <f>(C5-C6)/C6</f>
        <v>0.11538461538461539</v>
      </c>
    </row>
    <row r="25" spans="2:3" x14ac:dyDescent="0.25">
      <c r="C25" s="9"/>
    </row>
  </sheetData>
  <dataValidations count="1">
    <dataValidation type="list" showInputMessage="1" showErrorMessage="1" sqref="C3" xr:uid="{9C074AE7-F2F8-4229-AF65-DCDD5DA0EB8B}">
      <formula1>"Buy,Sell"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BB9CA-A705-4D5F-A631-270BEAFDA682}">
  <dimension ref="B2:C6"/>
  <sheetViews>
    <sheetView workbookViewId="0">
      <selection activeCell="B7" sqref="B7"/>
    </sheetView>
  </sheetViews>
  <sheetFormatPr defaultRowHeight="15" x14ac:dyDescent="0.25"/>
  <cols>
    <col min="2" max="2" width="17" bestFit="1" customWidth="1"/>
    <col min="3" max="3" width="23.42578125" bestFit="1" customWidth="1"/>
  </cols>
  <sheetData>
    <row r="2" spans="2:3" x14ac:dyDescent="0.25">
      <c r="B2" t="s">
        <v>14</v>
      </c>
      <c r="C2" t="s">
        <v>18</v>
      </c>
    </row>
    <row r="3" spans="2:3" x14ac:dyDescent="0.25">
      <c r="B3" t="s">
        <v>17</v>
      </c>
      <c r="C3" t="s">
        <v>19</v>
      </c>
    </row>
    <row r="4" spans="2:3" x14ac:dyDescent="0.25">
      <c r="B4" t="s">
        <v>15</v>
      </c>
    </row>
    <row r="5" spans="2:3" x14ac:dyDescent="0.25">
      <c r="B5" t="s">
        <v>16</v>
      </c>
    </row>
    <row r="6" spans="2:3" x14ac:dyDescent="0.25">
      <c r="B6" t="s">
        <v>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1ca67ea-cf85-4c1b-88c2-a9ae8445b1f9}" enabled="0" method="" siteId="{d1ca67ea-cf85-4c1b-88c2-a9ae8445b1f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 Value</vt:lpstr>
      <vt:lpstr>Physical Settlement Cmdty</vt:lpstr>
      <vt:lpstr>Sheet1</vt:lpstr>
      <vt:lpstr>MNQ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Jennings</dc:creator>
  <cp:lastModifiedBy>Kyle Jennings</cp:lastModifiedBy>
  <dcterms:created xsi:type="dcterms:W3CDTF">2026-07-23T14:44:19Z</dcterms:created>
  <dcterms:modified xsi:type="dcterms:W3CDTF">2026-09-09T16:07:29Z</dcterms:modified>
</cp:coreProperties>
</file>
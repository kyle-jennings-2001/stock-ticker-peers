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tllc-my.sharepoint.com/personal/kjennings_genevatrading_com/Documents/My Files/Reference/"/>
    </mc:Choice>
  </mc:AlternateContent>
  <xr:revisionPtr revIDLastSave="0" documentId="13_ncr:20001_{B9D4B842-56E7-4701-853D-CF5DDDE2206E}" xr6:coauthVersionLast="47" xr6:coauthVersionMax="47" xr10:uidLastSave="{00000000-0000-0000-0000-000000000000}"/>
  <bookViews>
    <workbookView xWindow="-24360" yWindow="1215" windowWidth="24345" windowHeight="18555" activeTab="1" xr2:uid="{00000000-000D-0000-FFFF-FFFF00000000}"/>
  </bookViews>
  <sheets>
    <sheet name="Dashboard" sheetId="1" r:id="rId1"/>
    <sheet name="Trade Calculation" sheetId="2" r:id="rId2"/>
    <sheet name="Fair Value &amp; Spot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21" i="2"/>
  <c r="B38" i="2" s="1"/>
  <c r="C20" i="2"/>
  <c r="B39" i="2" l="1"/>
  <c r="B40" i="2" s="1"/>
  <c r="B41" i="2" s="1"/>
  <c r="B42" i="2" s="1"/>
  <c r="B43" i="2" s="1"/>
  <c r="B44" i="2" s="1"/>
  <c r="B45" i="2" s="1"/>
  <c r="B46" i="2" s="1"/>
  <c r="C46" i="2" s="1"/>
  <c r="B37" i="2"/>
  <c r="B36" i="2" s="1"/>
  <c r="B35" i="2" s="1"/>
  <c r="B34" i="2" s="1"/>
  <c r="B33" i="2" s="1"/>
  <c r="B32" i="2" s="1"/>
  <c r="B31" i="2" s="1"/>
  <c r="B30" i="2" s="1"/>
  <c r="C41" i="2" l="1"/>
  <c r="C42" i="2"/>
  <c r="D42" i="2" s="1"/>
  <c r="C43" i="2"/>
  <c r="C44" i="2"/>
  <c r="C45" i="2"/>
  <c r="D46" i="2"/>
  <c r="E46" i="2"/>
  <c r="C40" i="2"/>
  <c r="E40" i="2" s="1"/>
  <c r="C39" i="2"/>
  <c r="E39" i="2" s="1"/>
  <c r="C38" i="2"/>
  <c r="D38" i="2" s="1"/>
  <c r="C37" i="2"/>
  <c r="D37" i="2" s="1"/>
  <c r="C36" i="2"/>
  <c r="E36" i="2" s="1"/>
  <c r="C35" i="2"/>
  <c r="E35" i="2" s="1"/>
  <c r="C34" i="2"/>
  <c r="E34" i="2" s="1"/>
  <c r="C33" i="2"/>
  <c r="D33" i="2" s="1"/>
  <c r="C32" i="2"/>
  <c r="E32" i="2" s="1"/>
  <c r="C31" i="2"/>
  <c r="E31" i="2" s="1"/>
  <c r="C30" i="2"/>
  <c r="E30" i="2" s="1"/>
  <c r="C26" i="2"/>
  <c r="C22" i="2"/>
  <c r="E6" i="1" s="1"/>
  <c r="E9" i="1"/>
  <c r="B9" i="1"/>
  <c r="B8" i="1"/>
  <c r="B7" i="1"/>
  <c r="B6" i="1"/>
  <c r="E5" i="1"/>
  <c r="B5" i="1"/>
  <c r="E42" i="2" l="1"/>
  <c r="D41" i="2"/>
  <c r="E41" i="2"/>
  <c r="D44" i="2"/>
  <c r="E44" i="2"/>
  <c r="F44" i="2" s="1"/>
  <c r="D43" i="2"/>
  <c r="E43" i="2"/>
  <c r="F43" i="2" s="1"/>
  <c r="E45" i="2"/>
  <c r="F45" i="2" s="1"/>
  <c r="D45" i="2"/>
  <c r="F42" i="2"/>
  <c r="F41" i="2"/>
  <c r="F46" i="2"/>
  <c r="F35" i="2"/>
  <c r="F36" i="2"/>
  <c r="F31" i="2"/>
  <c r="E33" i="2"/>
  <c r="F33" i="2" s="1"/>
  <c r="F32" i="2"/>
  <c r="F39" i="2"/>
  <c r="F40" i="2"/>
  <c r="F30" i="2"/>
  <c r="F34" i="2"/>
  <c r="E38" i="2"/>
  <c r="F38" i="2" s="1"/>
  <c r="C23" i="2"/>
  <c r="C24" i="2"/>
  <c r="D34" i="2"/>
  <c r="D36" i="2"/>
  <c r="D39" i="2"/>
  <c r="D35" i="2"/>
  <c r="E37" i="2"/>
  <c r="F37" i="2" s="1"/>
  <c r="D32" i="2"/>
  <c r="D30" i="2"/>
  <c r="D31" i="2"/>
  <c r="D40" i="2"/>
  <c r="E8" i="1" l="1"/>
  <c r="C25" i="2"/>
  <c r="C27" i="2" l="1"/>
  <c r="E7" i="1"/>
</calcChain>
</file>

<file path=xl/sharedStrings.xml><?xml version="1.0" encoding="utf-8"?>
<sst xmlns="http://schemas.openxmlformats.org/spreadsheetml/2006/main" count="64" uniqueCount="60">
  <si>
    <t>ZN Futures Position &amp; Performance Summary</t>
  </si>
  <si>
    <t>CME 10-Year Treasury Note Trade Summary Card</t>
  </si>
  <si>
    <t>POSITION OVERVIEW</t>
  </si>
  <si>
    <t>FINANCIAL PERFORMANCE</t>
  </si>
  <si>
    <t>Contract</t>
  </si>
  <si>
    <t>Point Profit</t>
  </si>
  <si>
    <t>Direction</t>
  </si>
  <si>
    <t>Tick Gain</t>
  </si>
  <si>
    <t>Contracts (Lots)</t>
  </si>
  <si>
    <t>Capital Required (Margin)</t>
  </si>
  <si>
    <t>Entry Price</t>
  </si>
  <si>
    <t>Net Profit / (Loss)</t>
  </si>
  <si>
    <t>Exit Price</t>
  </si>
  <si>
    <t>Return on Margin (RoM)</t>
  </si>
  <si>
    <t>10-Year U.S. Treasury Note Futures</t>
  </si>
  <si>
    <t>Ticker Symbol</t>
  </si>
  <si>
    <t>ZN</t>
  </si>
  <si>
    <t>Contract Size (Face Value)</t>
  </si>
  <si>
    <t>Full Point Value</t>
  </si>
  <si>
    <t>Ticks per Full Point</t>
  </si>
  <si>
    <t>Minimum Tick Size</t>
  </si>
  <si>
    <t>Tick Value (1/64th point)</t>
  </si>
  <si>
    <t>2. Trade Inputs</t>
  </si>
  <si>
    <t>Position Type</t>
  </si>
  <si>
    <t>Short</t>
  </si>
  <si>
    <t>Number of Contracts (Lots)</t>
  </si>
  <si>
    <t>Position size</t>
  </si>
  <si>
    <t>Entry Price (Points)</t>
  </si>
  <si>
    <t>Price quoted in decimal points</t>
  </si>
  <si>
    <t>Exit Price (Points)</t>
  </si>
  <si>
    <t>Closing price</t>
  </si>
  <si>
    <t>Initial Margin per Contract</t>
  </si>
  <si>
    <t>CME / Broker required capital</t>
  </si>
  <si>
    <t>Maintenance Margin per Contract</t>
  </si>
  <si>
    <t>Minimum equity threshold</t>
  </si>
  <si>
    <t>Price Difference (Points)</t>
  </si>
  <si>
    <t>Positive = Profit</t>
  </si>
  <si>
    <t>Price Difference in Ticks (32nds)</t>
  </si>
  <si>
    <t>1 point = 32 ticks</t>
  </si>
  <si>
    <t>Gross P&amp;L per Contract</t>
  </si>
  <si>
    <t>Point Change x $1,000</t>
  </si>
  <si>
    <t>Total Gross Profit / (Loss)</t>
  </si>
  <si>
    <t>P&amp;L x Number of Lots</t>
  </si>
  <si>
    <t>Total Margin Posted</t>
  </si>
  <si>
    <t>Profit / Capital Required</t>
  </si>
  <si>
    <t>Price Change (Pts)</t>
  </si>
  <si>
    <t>Ticks (32nds)</t>
  </si>
  <si>
    <t>Net P&amp;L ($)</t>
  </si>
  <si>
    <t>Return on Margin (%)</t>
  </si>
  <si>
    <t>Fraction</t>
  </si>
  <si>
    <t>Points</t>
  </si>
  <si>
    <t>Exchange</t>
  </si>
  <si>
    <t>CME</t>
  </si>
  <si>
    <t>1. Contract Specifications</t>
  </si>
  <si>
    <t>3. Analysis</t>
  </si>
  <si>
    <t>Quote Units: Points and 32nds</t>
  </si>
  <si>
    <t>4. Scenario</t>
  </si>
  <si>
    <t/>
  </si>
  <si>
    <t>Scenario Tick Increment</t>
  </si>
  <si>
    <t>Capital Required (Initial 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</si>
</sst>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"/>
    <numFmt numFmtId="165" formatCode="\$#,##0.00"/>
    <numFmt numFmtId="166" formatCode="0.000000"/>
    <numFmt numFmtId="169" formatCode="\+#,##0.00;\-#,##0.00;0.00"/>
    <numFmt numFmtId="170" formatCode="\+#,##0.0;\-#,##0.0;0.0"/>
    <numFmt numFmtId="173" formatCode="#,##0.0000"/>
    <numFmt numFmtId="174" formatCode="\$#,##0.000"/>
    <numFmt numFmtId="176" formatCode="\$#,##0;\(\$#,##0\);\$0"/>
    <numFmt numFmtId="178" formatCode="\+0%;\-0%;0%"/>
  </numFmts>
  <fonts count="13" x14ac:knownFonts="1">
    <font>
      <sz val="11"/>
      <color theme="1"/>
      <name val="Calibri"/>
      <family val="2"/>
      <scheme val="minor"/>
    </font>
    <font>
      <b/>
      <sz val="16"/>
      <color rgb="FF1E293B"/>
      <name val="Calibri"/>
    </font>
    <font>
      <i/>
      <sz val="11"/>
      <color rgb="FF64748B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6" tint="-0.249977111117893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theme="0" tint="-0.149998474074526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4155"/>
        <bgColor rgb="FF334155"/>
      </patternFill>
    </fill>
    <fill>
      <patternFill patternType="solid">
        <fgColor rgb="FF1E293B"/>
        <bgColor rgb="FF1E293B"/>
      </patternFill>
    </fill>
    <fill>
      <patternFill patternType="solid">
        <fgColor rgb="FFDCFCE7"/>
        <bgColor rgb="FFDCFCE7"/>
      </patternFill>
    </fill>
  </fills>
  <borders count="9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/>
    <xf numFmtId="165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9" fontId="0" fillId="0" borderId="1" xfId="0" applyNumberFormat="1" applyBorder="1" applyAlignment="1">
      <alignment horizontal="right" vertical="center"/>
    </xf>
    <xf numFmtId="170" fontId="0" fillId="0" borderId="1" xfId="0" applyNumberFormat="1" applyBorder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3" fontId="6" fillId="0" borderId="1" xfId="0" applyNumberFormat="1" applyFont="1" applyBorder="1" applyAlignment="1">
      <alignment horizontal="right" vertical="center"/>
    </xf>
    <xf numFmtId="0" fontId="7" fillId="0" borderId="1" xfId="0" applyFont="1" applyBorder="1"/>
    <xf numFmtId="0" fontId="7" fillId="4" borderId="1" xfId="0" applyFont="1" applyFill="1" applyBorder="1"/>
    <xf numFmtId="165" fontId="7" fillId="0" borderId="1" xfId="0" applyNumberFormat="1" applyFont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3" fontId="8" fillId="0" borderId="1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left" vertical="center"/>
    </xf>
    <xf numFmtId="0" fontId="2" fillId="0" borderId="0" xfId="0" applyFont="1" applyBorder="1"/>
    <xf numFmtId="0" fontId="4" fillId="0" borderId="2" xfId="0" applyFont="1" applyBorder="1"/>
    <xf numFmtId="0" fontId="4" fillId="0" borderId="3" xfId="0" applyFont="1" applyBorder="1"/>
    <xf numFmtId="0" fontId="0" fillId="0" borderId="4" xfId="0" applyBorder="1"/>
    <xf numFmtId="3" fontId="6" fillId="0" borderId="5" xfId="0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0" fillId="0" borderId="0" xfId="0" applyBorder="1"/>
    <xf numFmtId="49" fontId="6" fillId="0" borderId="3" xfId="0" applyNumberFormat="1" applyFont="1" applyBorder="1" applyAlignment="1">
      <alignment horizontal="right" vertical="center"/>
    </xf>
    <xf numFmtId="0" fontId="3" fillId="2" borderId="0" xfId="0" applyFont="1" applyFill="1" applyBorder="1"/>
    <xf numFmtId="173" fontId="8" fillId="0" borderId="3" xfId="0" applyNumberFormat="1" applyFont="1" applyBorder="1" applyAlignment="1">
      <alignment horizontal="right" vertical="center"/>
    </xf>
    <xf numFmtId="0" fontId="4" fillId="0" borderId="6" xfId="0" applyFont="1" applyBorder="1"/>
    <xf numFmtId="0" fontId="4" fillId="0" borderId="7" xfId="0" applyFont="1" applyBorder="1"/>
    <xf numFmtId="169" fontId="0" fillId="0" borderId="1" xfId="0" applyNumberFormat="1" applyFill="1" applyBorder="1" applyAlignment="1">
      <alignment horizontal="right" vertical="center"/>
    </xf>
    <xf numFmtId="170" fontId="0" fillId="0" borderId="1" xfId="0" applyNumberFormat="1" applyFill="1" applyBorder="1" applyAlignment="1">
      <alignment horizontal="right" vertical="center"/>
    </xf>
    <xf numFmtId="173" fontId="0" fillId="0" borderId="1" xfId="0" applyNumberFormat="1" applyFill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left" vertical="center"/>
    </xf>
    <xf numFmtId="0" fontId="0" fillId="0" borderId="8" xfId="0" applyBorder="1"/>
    <xf numFmtId="3" fontId="6" fillId="0" borderId="1" xfId="0" applyNumberFormat="1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center" vertical="center"/>
    </xf>
    <xf numFmtId="173" fontId="7" fillId="0" borderId="1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1" xfId="0" applyNumberForma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Fill="1" applyBorder="1" applyAlignment="1">
      <alignment horizontal="right" vertical="center"/>
    </xf>
    <xf numFmtId="0" fontId="12" fillId="0" borderId="0" xfId="0" applyFont="1" applyBorder="1" applyAlignment="1">
      <alignment horizontal="right"/>
    </xf>
    <xf numFmtId="0" fontId="12" fillId="0" borderId="0" xfId="0" applyFont="1" applyBorder="1" applyAlignment="1">
      <alignment horizontal="left"/>
    </xf>
    <xf numFmtId="165" fontId="9" fillId="0" borderId="2" xfId="0" applyNumberFormat="1" applyFont="1" applyBorder="1" applyAlignment="1">
      <alignment horizontal="right" vertical="center"/>
    </xf>
    <xf numFmtId="0" fontId="7" fillId="4" borderId="2" xfId="0" applyFont="1" applyFill="1" applyBorder="1"/>
    <xf numFmtId="10" fontId="7" fillId="4" borderId="2" xfId="0" applyNumberFormat="1" applyFont="1" applyFill="1" applyBorder="1" applyAlignment="1">
      <alignment horizontal="right" vertical="center"/>
    </xf>
    <xf numFmtId="0" fontId="11" fillId="2" borderId="4" xfId="0" applyFont="1" applyFill="1" applyBorder="1"/>
    <xf numFmtId="0" fontId="0" fillId="0" borderId="4" xfId="0" applyBorder="1"/>
    <xf numFmtId="174" fontId="7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&amp; Loss Across Exit Price Scenarios (Short at 109.00)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'Trade Calculation'!$E$29</c:f>
              <c:strCache>
                <c:ptCount val="1"/>
                <c:pt idx="0">
                  <c:v>Net P&amp;L ($)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'Trade Calculation'!$B$30:$B$40</c:f>
              <c:numCache>
                <c:formatCode>#,##0.0000</c:formatCode>
                <c:ptCount val="11"/>
                <c:pt idx="0">
                  <c:v>107.0625</c:v>
                </c:pt>
                <c:pt idx="1">
                  <c:v>106.9375</c:v>
                </c:pt>
                <c:pt idx="2">
                  <c:v>106.8125</c:v>
                </c:pt>
                <c:pt idx="3">
                  <c:v>106.6875</c:v>
                </c:pt>
                <c:pt idx="4">
                  <c:v>106.5625</c:v>
                </c:pt>
                <c:pt idx="5">
                  <c:v>106.4375</c:v>
                </c:pt>
                <c:pt idx="6">
                  <c:v>106.3125</c:v>
                </c:pt>
                <c:pt idx="7">
                  <c:v>106.1875</c:v>
                </c:pt>
                <c:pt idx="8">
                  <c:v>106.0625</c:v>
                </c:pt>
                <c:pt idx="9">
                  <c:v>105.9375</c:v>
                </c:pt>
                <c:pt idx="10">
                  <c:v>105.8125</c:v>
                </c:pt>
              </c:numCache>
            </c:numRef>
          </c:cat>
          <c:val>
            <c:numRef>
              <c:f>'Trade Calculation'!$E$30:$E$40</c:f>
              <c:numCache>
                <c:formatCode>\$#,##0;\(\$#,##0\);\$0</c:formatCode>
                <c:ptCount val="11"/>
                <c:pt idx="0">
                  <c:v>-1187.5</c:v>
                </c:pt>
                <c:pt idx="1">
                  <c:v>-937.5</c:v>
                </c:pt>
                <c:pt idx="2">
                  <c:v>-687.5</c:v>
                </c:pt>
                <c:pt idx="3">
                  <c:v>-437.5</c:v>
                </c:pt>
                <c:pt idx="4">
                  <c:v>-187.5</c:v>
                </c:pt>
                <c:pt idx="5">
                  <c:v>62.5</c:v>
                </c:pt>
                <c:pt idx="6">
                  <c:v>312.5</c:v>
                </c:pt>
                <c:pt idx="7">
                  <c:v>562.5</c:v>
                </c:pt>
                <c:pt idx="8">
                  <c:v>812.5</c:v>
                </c:pt>
                <c:pt idx="9">
                  <c:v>1062.5</c:v>
                </c:pt>
                <c:pt idx="10">
                  <c:v>1312.5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5-4F28-B1D9-4E60BD6AA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Exit Price (Points)</a:t>
                </a:r>
              </a:p>
            </c:rich>
          </c:tx>
          <c:overlay val="0"/>
        </c:title>
        <c:numFmt formatCode="#,##0.0000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P&amp;L ($)</a:t>
                </a:r>
              </a:p>
            </c:rich>
          </c:tx>
          <c:overlay val="0"/>
        </c:title>
        <c:numFmt formatCode="\$#,##0;\(\$#,##0\);\$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B1" sqref="B1"/>
    </sheetView>
  </sheetViews>
  <sheetFormatPr defaultRowHeight="15" x14ac:dyDescent="0.25"/>
  <cols>
    <col min="1" max="1" width="22" customWidth="1"/>
    <col min="2" max="2" width="20" customWidth="1"/>
    <col min="3" max="3" width="5" customWidth="1"/>
    <col min="4" max="4" width="26" customWidth="1"/>
    <col min="5" max="5" width="20" customWidth="1"/>
  </cols>
  <sheetData>
    <row r="1" spans="1:5" ht="21" x14ac:dyDescent="0.35">
      <c r="A1" s="1" t="s">
        <v>0</v>
      </c>
    </row>
    <row r="2" spans="1:5" x14ac:dyDescent="0.25">
      <c r="A2" s="2" t="s">
        <v>1</v>
      </c>
    </row>
    <row r="4" spans="1:5" x14ac:dyDescent="0.25">
      <c r="A4" s="13" t="s">
        <v>2</v>
      </c>
      <c r="B4" s="14"/>
      <c r="D4" s="13" t="s">
        <v>3</v>
      </c>
      <c r="E4" s="14"/>
    </row>
    <row r="5" spans="1:5" x14ac:dyDescent="0.25">
      <c r="A5" s="3" t="s">
        <v>4</v>
      </c>
      <c r="B5" s="4" t="str">
        <f>'Trade Calculation'!C3</f>
        <v>ZN</v>
      </c>
      <c r="D5" s="3" t="s">
        <v>5</v>
      </c>
      <c r="E5" s="5">
        <f>'Trade Calculation'!C19</f>
        <v>0</v>
      </c>
    </row>
    <row r="6" spans="1:5" x14ac:dyDescent="0.25">
      <c r="A6" s="3" t="s">
        <v>6</v>
      </c>
      <c r="B6" s="4" t="str">
        <f>'Trade Calculation'!C11</f>
        <v>Short</v>
      </c>
      <c r="D6" s="3" t="s">
        <v>7</v>
      </c>
      <c r="E6" s="4">
        <f>'Trade Calculation'!C22</f>
        <v>0.40625</v>
      </c>
    </row>
    <row r="7" spans="1:5" x14ac:dyDescent="0.25">
      <c r="A7" s="3" t="s">
        <v>8</v>
      </c>
      <c r="B7" s="4">
        <f>'Trade Calculation'!C12</f>
        <v>2</v>
      </c>
      <c r="D7" s="3" t="s">
        <v>9</v>
      </c>
      <c r="E7" s="6">
        <f>'Trade Calculation'!C25</f>
        <v>812.5</v>
      </c>
    </row>
    <row r="8" spans="1:5" x14ac:dyDescent="0.25">
      <c r="A8" s="3" t="s">
        <v>10</v>
      </c>
      <c r="B8" s="5">
        <f>'Trade Calculation'!C20</f>
        <v>106.46875</v>
      </c>
      <c r="D8" s="7" t="s">
        <v>11</v>
      </c>
      <c r="E8" s="8">
        <f>'Trade Calculation'!C24</f>
        <v>406.25</v>
      </c>
    </row>
    <row r="9" spans="1:5" x14ac:dyDescent="0.25">
      <c r="A9" s="3" t="s">
        <v>12</v>
      </c>
      <c r="B9" s="5">
        <f>'Trade Calculation'!C21</f>
        <v>106.0625</v>
      </c>
      <c r="D9" s="7" t="s">
        <v>13</v>
      </c>
      <c r="E9" s="9">
        <f>'Trade Calculation'!C26</f>
        <v>4400</v>
      </c>
    </row>
  </sheetData>
  <mergeCells count="2">
    <mergeCell ref="A4:B4"/>
    <mergeCell ref="D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8"/>
  <sheetViews>
    <sheetView showGridLines="0" tabSelected="1" zoomScaleNormal="100" workbookViewId="0">
      <selection activeCell="B10" sqref="B10:F10"/>
    </sheetView>
  </sheetViews>
  <sheetFormatPr defaultRowHeight="15" x14ac:dyDescent="0.25"/>
  <cols>
    <col min="2" max="2" width="29.85546875" customWidth="1"/>
    <col min="3" max="3" width="16.42578125" customWidth="1"/>
    <col min="4" max="4" width="12.28515625" bestFit="1" customWidth="1"/>
    <col min="5" max="5" width="13.7109375" customWidth="1"/>
    <col min="6" max="6" width="22.42578125" customWidth="1"/>
  </cols>
  <sheetData>
    <row r="2" spans="2:6" x14ac:dyDescent="0.25">
      <c r="B2" s="29" t="s">
        <v>53</v>
      </c>
      <c r="C2" s="30"/>
      <c r="D2" s="30"/>
      <c r="E2" s="30"/>
      <c r="F2" s="30"/>
    </row>
    <row r="3" spans="2:6" x14ac:dyDescent="0.25">
      <c r="B3" s="25" t="s">
        <v>15</v>
      </c>
      <c r="C3" s="28" t="s">
        <v>16</v>
      </c>
      <c r="D3" s="44"/>
      <c r="E3" s="23" t="s">
        <v>14</v>
      </c>
    </row>
    <row r="4" spans="2:6" x14ac:dyDescent="0.25">
      <c r="B4" s="16" t="s">
        <v>51</v>
      </c>
      <c r="C4" s="22" t="s">
        <v>52</v>
      </c>
    </row>
    <row r="5" spans="2:6" x14ac:dyDescent="0.25">
      <c r="B5" s="3" t="s">
        <v>17</v>
      </c>
      <c r="C5" s="40">
        <v>100000</v>
      </c>
    </row>
    <row r="6" spans="2:6" x14ac:dyDescent="0.25">
      <c r="B6" s="3" t="s">
        <v>18</v>
      </c>
      <c r="C6" s="41">
        <v>1000</v>
      </c>
    </row>
    <row r="7" spans="2:6" x14ac:dyDescent="0.25">
      <c r="B7" s="3" t="s">
        <v>19</v>
      </c>
      <c r="C7" s="42">
        <v>32</v>
      </c>
      <c r="E7" s="23" t="s">
        <v>55</v>
      </c>
    </row>
    <row r="8" spans="2:6" x14ac:dyDescent="0.25">
      <c r="B8" s="3" t="s">
        <v>20</v>
      </c>
      <c r="C8" s="43">
        <v>1.5625E-2</v>
      </c>
    </row>
    <row r="9" spans="2:6" x14ac:dyDescent="0.25">
      <c r="B9" s="24" t="s">
        <v>21</v>
      </c>
      <c r="C9" s="60">
        <f>C6/(C7*2)</f>
        <v>15.625</v>
      </c>
    </row>
    <row r="10" spans="2:6" x14ac:dyDescent="0.25">
      <c r="B10" s="32" t="s">
        <v>22</v>
      </c>
      <c r="C10" s="30"/>
      <c r="D10" s="30"/>
      <c r="E10" s="30"/>
      <c r="F10" s="30"/>
    </row>
    <row r="11" spans="2:6" x14ac:dyDescent="0.25">
      <c r="B11" s="25" t="s">
        <v>23</v>
      </c>
      <c r="C11" s="31" t="s">
        <v>24</v>
      </c>
      <c r="E11" s="23"/>
    </row>
    <row r="12" spans="2:6" x14ac:dyDescent="0.25">
      <c r="B12" s="3" t="s">
        <v>25</v>
      </c>
      <c r="C12" s="15">
        <v>2</v>
      </c>
      <c r="E12" s="23" t="s">
        <v>26</v>
      </c>
    </row>
    <row r="13" spans="2:6" ht="15" customHeight="1" x14ac:dyDescent="0.25">
      <c r="B13" s="34"/>
      <c r="C13" s="27"/>
      <c r="D13" s="26"/>
      <c r="E13" s="23"/>
    </row>
    <row r="14" spans="2:6" ht="15" customHeight="1" x14ac:dyDescent="0.25">
      <c r="B14" s="35"/>
      <c r="C14" s="46" t="s">
        <v>50</v>
      </c>
      <c r="D14" s="46" t="s">
        <v>49</v>
      </c>
      <c r="E14" s="23"/>
    </row>
    <row r="15" spans="2:6" x14ac:dyDescent="0.25">
      <c r="B15" s="16" t="s">
        <v>10</v>
      </c>
      <c r="C15" s="15">
        <v>106</v>
      </c>
      <c r="D15" s="45">
        <v>15</v>
      </c>
      <c r="E15" s="23"/>
    </row>
    <row r="16" spans="2:6" x14ac:dyDescent="0.25">
      <c r="B16" s="16" t="s">
        <v>12</v>
      </c>
      <c r="C16" s="15">
        <v>106</v>
      </c>
      <c r="D16" s="45">
        <v>2</v>
      </c>
      <c r="E16" s="23"/>
    </row>
    <row r="17" spans="2:8" x14ac:dyDescent="0.25">
      <c r="B17" s="3" t="s">
        <v>31</v>
      </c>
      <c r="C17" s="20">
        <v>2200</v>
      </c>
      <c r="E17" s="23" t="s">
        <v>32</v>
      </c>
    </row>
    <row r="18" spans="2:8" x14ac:dyDescent="0.25">
      <c r="B18" s="24" t="s">
        <v>33</v>
      </c>
      <c r="C18" s="55">
        <v>1800</v>
      </c>
      <c r="E18" s="23" t="s">
        <v>34</v>
      </c>
    </row>
    <row r="19" spans="2:8" x14ac:dyDescent="0.25">
      <c r="B19" s="32" t="s">
        <v>54</v>
      </c>
      <c r="C19" s="30"/>
      <c r="D19" s="30"/>
      <c r="E19" s="30"/>
      <c r="F19" s="30"/>
    </row>
    <row r="20" spans="2:8" x14ac:dyDescent="0.25">
      <c r="B20" s="25" t="s">
        <v>27</v>
      </c>
      <c r="C20" s="33">
        <f>C15+(D15/$C$7)</f>
        <v>106.46875</v>
      </c>
      <c r="E20" s="23" t="s">
        <v>28</v>
      </c>
    </row>
    <row r="21" spans="2:8" x14ac:dyDescent="0.25">
      <c r="B21" s="3" t="s">
        <v>29</v>
      </c>
      <c r="C21" s="21">
        <f>C16+(D16/$C$7)</f>
        <v>106.0625</v>
      </c>
      <c r="E21" s="23" t="s">
        <v>30</v>
      </c>
    </row>
    <row r="22" spans="2:8" x14ac:dyDescent="0.25">
      <c r="B22" s="16" t="s">
        <v>35</v>
      </c>
      <c r="C22" s="47">
        <f>IF(C11="Short", C20-C21, C21-C20)</f>
        <v>0.40625</v>
      </c>
      <c r="E22" s="23" t="s">
        <v>36</v>
      </c>
    </row>
    <row r="23" spans="2:8" x14ac:dyDescent="0.25">
      <c r="B23" s="16" t="s">
        <v>37</v>
      </c>
      <c r="C23" s="48">
        <f>C22*C7</f>
        <v>13</v>
      </c>
      <c r="E23" s="23" t="s">
        <v>38</v>
      </c>
    </row>
    <row r="24" spans="2:8" x14ac:dyDescent="0.25">
      <c r="B24" s="16" t="s">
        <v>39</v>
      </c>
      <c r="C24" s="18">
        <f>C22*C6</f>
        <v>406.25</v>
      </c>
      <c r="E24" s="23" t="s">
        <v>40</v>
      </c>
    </row>
    <row r="25" spans="2:8" x14ac:dyDescent="0.25">
      <c r="B25" s="17" t="s">
        <v>41</v>
      </c>
      <c r="C25" s="19">
        <f>C24*C12</f>
        <v>812.5</v>
      </c>
      <c r="E25" s="23" t="s">
        <v>42</v>
      </c>
    </row>
    <row r="26" spans="2:8" x14ac:dyDescent="0.25">
      <c r="B26" s="17" t="s">
        <v>59</v>
      </c>
      <c r="C26" s="19">
        <f>C12*C17</f>
        <v>4400</v>
      </c>
      <c r="E26" s="23" t="s">
        <v>43</v>
      </c>
    </row>
    <row r="27" spans="2:8" x14ac:dyDescent="0.25">
      <c r="B27" s="56" t="s">
        <v>13</v>
      </c>
      <c r="C27" s="57">
        <f>C25/C26</f>
        <v>0.18465909090909091</v>
      </c>
      <c r="E27" s="23" t="s">
        <v>44</v>
      </c>
    </row>
    <row r="28" spans="2:8" x14ac:dyDescent="0.25">
      <c r="B28" s="58" t="s">
        <v>56</v>
      </c>
      <c r="C28" s="59"/>
      <c r="D28" s="59"/>
      <c r="E28" s="59"/>
      <c r="F28" s="59"/>
    </row>
    <row r="29" spans="2:8" x14ac:dyDescent="0.25">
      <c r="B29" s="10" t="s">
        <v>29</v>
      </c>
      <c r="C29" s="10" t="s">
        <v>45</v>
      </c>
      <c r="D29" s="10" t="s">
        <v>46</v>
      </c>
      <c r="E29" s="10" t="s">
        <v>47</v>
      </c>
      <c r="F29" s="10" t="s">
        <v>48</v>
      </c>
      <c r="H29" t="s">
        <v>57</v>
      </c>
    </row>
    <row r="30" spans="2:8" x14ac:dyDescent="0.25">
      <c r="B30" s="39">
        <f>B31+($C$48/$C$7)</f>
        <v>107.0625</v>
      </c>
      <c r="C30" s="11">
        <f>$C$20-B30</f>
        <v>-0.59375</v>
      </c>
      <c r="D30" s="12">
        <f>C30*$C$7</f>
        <v>-19</v>
      </c>
      <c r="E30" s="49">
        <f>C30*$C$6*$C$12</f>
        <v>-1187.5</v>
      </c>
      <c r="F30" s="51">
        <f t="shared" ref="F30:F37" si="0">E30/$C$26</f>
        <v>-0.26988636363636365</v>
      </c>
    </row>
    <row r="31" spans="2:8" x14ac:dyDescent="0.25">
      <c r="B31" s="39">
        <f>B32+($C$48/$C$7)</f>
        <v>106.9375</v>
      </c>
      <c r="C31" s="11">
        <f>$C$20-B31</f>
        <v>-0.46875</v>
      </c>
      <c r="D31" s="12">
        <f>C31*$C$7</f>
        <v>-15</v>
      </c>
      <c r="E31" s="49">
        <f>C31*$C$6*$C$12</f>
        <v>-937.5</v>
      </c>
      <c r="F31" s="51">
        <f t="shared" si="0"/>
        <v>-0.21306818181818182</v>
      </c>
    </row>
    <row r="32" spans="2:8" x14ac:dyDescent="0.25">
      <c r="B32" s="39">
        <f>B33+($C$48/$C$7)</f>
        <v>106.8125</v>
      </c>
      <c r="C32" s="11">
        <f>$C$20-B32</f>
        <v>-0.34375</v>
      </c>
      <c r="D32" s="12">
        <f>C32*$C$7</f>
        <v>-11</v>
      </c>
      <c r="E32" s="49">
        <f>C32*$C$6*$C$12</f>
        <v>-687.5</v>
      </c>
      <c r="F32" s="51">
        <f t="shared" si="0"/>
        <v>-0.15625</v>
      </c>
    </row>
    <row r="33" spans="2:6" x14ac:dyDescent="0.25">
      <c r="B33" s="39">
        <f>B34+($C$48/$C$7)</f>
        <v>106.6875</v>
      </c>
      <c r="C33" s="11">
        <f>$C$20-B33</f>
        <v>-0.21875</v>
      </c>
      <c r="D33" s="12">
        <f>C33*$C$7</f>
        <v>-7</v>
      </c>
      <c r="E33" s="49">
        <f>C33*$C$6*$C$12</f>
        <v>-437.5</v>
      </c>
      <c r="F33" s="51">
        <f t="shared" si="0"/>
        <v>-9.9431818181818177E-2</v>
      </c>
    </row>
    <row r="34" spans="2:6" x14ac:dyDescent="0.25">
      <c r="B34" s="39">
        <f>B35+($C$48/$C$7)</f>
        <v>106.5625</v>
      </c>
      <c r="C34" s="11">
        <f>$C$20-B34</f>
        <v>-9.375E-2</v>
      </c>
      <c r="D34" s="12">
        <f>C34*$C$7</f>
        <v>-3</v>
      </c>
      <c r="E34" s="49">
        <f>C34*$C$6*$C$12</f>
        <v>-187.5</v>
      </c>
      <c r="F34" s="51">
        <f t="shared" si="0"/>
        <v>-4.261363636363636E-2</v>
      </c>
    </row>
    <row r="35" spans="2:6" x14ac:dyDescent="0.25">
      <c r="B35" s="39">
        <f>B36+($C$48/$C$7)</f>
        <v>106.4375</v>
      </c>
      <c r="C35" s="11">
        <f>$C$20-B35</f>
        <v>3.125E-2</v>
      </c>
      <c r="D35" s="12">
        <f>C35*$C$7</f>
        <v>1</v>
      </c>
      <c r="E35" s="49">
        <f>C35*$C$6*$C$12</f>
        <v>62.5</v>
      </c>
      <c r="F35" s="51">
        <f t="shared" si="0"/>
        <v>1.4204545454545454E-2</v>
      </c>
    </row>
    <row r="36" spans="2:6" x14ac:dyDescent="0.25">
      <c r="B36" s="39">
        <f>B37+($C$48/$C$7)</f>
        <v>106.3125</v>
      </c>
      <c r="C36" s="11">
        <f>$C$20-B36</f>
        <v>0.15625</v>
      </c>
      <c r="D36" s="12">
        <f>C36*$C$7</f>
        <v>5</v>
      </c>
      <c r="E36" s="49">
        <f>C36*$C$6*$C$12</f>
        <v>312.5</v>
      </c>
      <c r="F36" s="51">
        <f t="shared" si="0"/>
        <v>7.1022727272727279E-2</v>
      </c>
    </row>
    <row r="37" spans="2:6" x14ac:dyDescent="0.25">
      <c r="B37" s="39">
        <f>B38+($C$48/$C$7)</f>
        <v>106.1875</v>
      </c>
      <c r="C37" s="11">
        <f>$C$20-B37</f>
        <v>0.28125</v>
      </c>
      <c r="D37" s="12">
        <f>C37*$C$7</f>
        <v>9</v>
      </c>
      <c r="E37" s="49">
        <f>C37*$C$6*$C$12</f>
        <v>562.5</v>
      </c>
      <c r="F37" s="51">
        <f t="shared" si="0"/>
        <v>0.12784090909090909</v>
      </c>
    </row>
    <row r="38" spans="2:6" x14ac:dyDescent="0.25">
      <c r="B38" s="38">
        <f>C21</f>
        <v>106.0625</v>
      </c>
      <c r="C38" s="36">
        <f>$C$20-B38</f>
        <v>0.40625</v>
      </c>
      <c r="D38" s="37">
        <f>C38*$C$7</f>
        <v>13</v>
      </c>
      <c r="E38" s="50">
        <f>C38*$C$6*$C$12</f>
        <v>812.5</v>
      </c>
      <c r="F38" s="52">
        <f>E38/$C$26</f>
        <v>0.18465909090909091</v>
      </c>
    </row>
    <row r="39" spans="2:6" x14ac:dyDescent="0.25">
      <c r="B39" s="39">
        <f>B38-($C$48/$C$7)</f>
        <v>105.9375</v>
      </c>
      <c r="C39" s="11">
        <f>$C$20-B39</f>
        <v>0.53125</v>
      </c>
      <c r="D39" s="12">
        <f>C39*$C$7</f>
        <v>17</v>
      </c>
      <c r="E39" s="49">
        <f>C39*$C$6*$C$12</f>
        <v>1062.5</v>
      </c>
      <c r="F39" s="51">
        <f t="shared" ref="F39:F46" si="1">E39/$C$26</f>
        <v>0.24147727272727273</v>
      </c>
    </row>
    <row r="40" spans="2:6" x14ac:dyDescent="0.25">
      <c r="B40" s="39">
        <f>B39-($C$48/$C$7)</f>
        <v>105.8125</v>
      </c>
      <c r="C40" s="11">
        <f>$C$20-B40</f>
        <v>0.65625</v>
      </c>
      <c r="D40" s="12">
        <f>C40*$C$7</f>
        <v>21</v>
      </c>
      <c r="E40" s="49">
        <f>C40*$C$6*$C$12</f>
        <v>1312.5</v>
      </c>
      <c r="F40" s="51">
        <f t="shared" si="1"/>
        <v>0.29829545454545453</v>
      </c>
    </row>
    <row r="41" spans="2:6" x14ac:dyDescent="0.25">
      <c r="B41" s="39">
        <f>B40-($C$48/$C$7)</f>
        <v>105.6875</v>
      </c>
      <c r="C41" s="11">
        <f t="shared" ref="C41:C46" si="2">$C$20-B41</f>
        <v>0.78125</v>
      </c>
      <c r="D41" s="12">
        <f t="shared" ref="D41:D46" si="3">C41*$C$7</f>
        <v>25</v>
      </c>
      <c r="E41" s="49">
        <f>C41*$C$6*$C$12</f>
        <v>1562.5</v>
      </c>
      <c r="F41" s="51">
        <f t="shared" si="1"/>
        <v>0.35511363636363635</v>
      </c>
    </row>
    <row r="42" spans="2:6" x14ac:dyDescent="0.25">
      <c r="B42" s="39">
        <f>B41-($C$48/$C$7)</f>
        <v>105.5625</v>
      </c>
      <c r="C42" s="11">
        <f t="shared" si="2"/>
        <v>0.90625</v>
      </c>
      <c r="D42" s="12">
        <f t="shared" si="3"/>
        <v>29</v>
      </c>
      <c r="E42" s="49">
        <f>C42*$C$6*$C$12</f>
        <v>1812.5</v>
      </c>
      <c r="F42" s="51">
        <f t="shared" si="1"/>
        <v>0.41193181818181818</v>
      </c>
    </row>
    <row r="43" spans="2:6" x14ac:dyDescent="0.25">
      <c r="B43" s="39">
        <f>B42-($C$48/$C$7)</f>
        <v>105.4375</v>
      </c>
      <c r="C43" s="11">
        <f t="shared" si="2"/>
        <v>1.03125</v>
      </c>
      <c r="D43" s="12">
        <f t="shared" si="3"/>
        <v>33</v>
      </c>
      <c r="E43" s="49">
        <f>C43*$C$6*$C$12</f>
        <v>2062.5</v>
      </c>
      <c r="F43" s="51">
        <f t="shared" si="1"/>
        <v>0.46875</v>
      </c>
    </row>
    <row r="44" spans="2:6" x14ac:dyDescent="0.25">
      <c r="B44" s="39">
        <f>B43-($C$48/$C$7)</f>
        <v>105.3125</v>
      </c>
      <c r="C44" s="11">
        <f t="shared" si="2"/>
        <v>1.15625</v>
      </c>
      <c r="D44" s="12">
        <f t="shared" si="3"/>
        <v>37</v>
      </c>
      <c r="E44" s="49">
        <f>C44*$C$6*$C$12</f>
        <v>2312.5</v>
      </c>
      <c r="F44" s="51">
        <f t="shared" si="1"/>
        <v>0.52556818181818177</v>
      </c>
    </row>
    <row r="45" spans="2:6" x14ac:dyDescent="0.25">
      <c r="B45" s="39">
        <f>B44-($C$48/$C$7)</f>
        <v>105.1875</v>
      </c>
      <c r="C45" s="11">
        <f t="shared" si="2"/>
        <v>1.28125</v>
      </c>
      <c r="D45" s="12">
        <f t="shared" si="3"/>
        <v>41</v>
      </c>
      <c r="E45" s="49">
        <f>C45*$C$6*$C$12</f>
        <v>2562.5</v>
      </c>
      <c r="F45" s="51">
        <f t="shared" si="1"/>
        <v>0.58238636363636365</v>
      </c>
    </row>
    <row r="46" spans="2:6" x14ac:dyDescent="0.25">
      <c r="B46" s="39">
        <f>B45-($C$48/$C$7)</f>
        <v>105.0625</v>
      </c>
      <c r="C46" s="11">
        <f t="shared" si="2"/>
        <v>1.40625</v>
      </c>
      <c r="D46" s="12">
        <f t="shared" si="3"/>
        <v>45</v>
      </c>
      <c r="E46" s="49">
        <f>C46*$C$6*$C$12</f>
        <v>2812.5</v>
      </c>
      <c r="F46" s="51">
        <f t="shared" si="1"/>
        <v>0.63920454545454541</v>
      </c>
    </row>
    <row r="48" spans="2:6" x14ac:dyDescent="0.25">
      <c r="B48" s="53" t="s">
        <v>58</v>
      </c>
      <c r="C48" s="54">
        <v>4</v>
      </c>
    </row>
  </sheetData>
  <mergeCells count="4">
    <mergeCell ref="B19:F19"/>
    <mergeCell ref="B2:F2"/>
    <mergeCell ref="B10:F10"/>
    <mergeCell ref="B28:F28"/>
  </mergeCells>
  <dataValidations disablePrompts="1" count="1">
    <dataValidation type="list" allowBlank="1" showInputMessage="1" showErrorMessage="1" sqref="C11" xr:uid="{6FB8FA52-D2D9-43F0-B37F-E6C681DF4908}">
      <formula1>"Short, Long"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3F27-5262-4EAF-AE32-53CC272C8E96}">
  <dimension ref="A1"/>
  <sheetViews>
    <sheetView workbookViewId="0">
      <selection activeCell="G9" sqref="G9"/>
    </sheetView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ca67ea-cf85-4c1b-88c2-a9ae8445b1f9}" enabled="0" method="" siteId="{d1ca67ea-cf85-4c1b-88c2-a9ae8445b1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Calculation</vt:lpstr>
      <vt:lpstr>Fair Value &amp; 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2026-09-09T15:52:38Z</dcterms:created>
  <dcterms:modified xsi:type="dcterms:W3CDTF">2026-09-11T22:02:50Z</dcterms:modified>
</cp:coreProperties>
</file>